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 Michael Jabuen\Documents\Soduko Solver\SudoSoLVRR\results\For_25x25\"/>
    </mc:Choice>
  </mc:AlternateContent>
  <xr:revisionPtr revIDLastSave="0" documentId="13_ncr:1_{A5FBB4C6-3123-4573-A15B-75CEDA968779}" xr6:coauthVersionLast="47" xr6:coauthVersionMax="47" xr10:uidLastSave="{00000000-0000-0000-0000-000000000000}"/>
  <bookViews>
    <workbookView xWindow="-108" yWindow="-108" windowWidth="23256" windowHeight="13896" activeTab="3" xr2:uid="{C2F8DB88-46B5-457D-A537-FDBCAD53C047}"/>
  </bookViews>
  <sheets>
    <sheet name="CP-ACS" sheetId="2" r:id="rId1"/>
    <sheet name="CP-DCM-ACO" sheetId="3" r:id="rId2"/>
    <sheet name="MT-CP-DCM-ACO" sheetId="4" r:id="rId3"/>
    <sheet name="Comparison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" i="5" l="1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9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9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9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9" i="5"/>
</calcChain>
</file>

<file path=xl/sharedStrings.xml><?xml version="1.0" encoding="utf-8"?>
<sst xmlns="http://schemas.openxmlformats.org/spreadsheetml/2006/main" count="2899" uniqueCount="198">
  <si>
    <t>Alg 0 = CP-ACS, Alg 3 = CP-DCM-ACO, Alg 4 = MT-CP-DCM-ACO</t>
  </si>
  <si>
    <t>Instances</t>
  </si>
  <si>
    <t>Solution Rate</t>
  </si>
  <si>
    <t>Average Time</t>
  </si>
  <si>
    <t>Standard Deviation</t>
  </si>
  <si>
    <t>Average Iteration</t>
  </si>
  <si>
    <t>inst25x25_40_10</t>
  </si>
  <si>
    <t>inst25x25_40_30</t>
  </si>
  <si>
    <t>inst25x25_40_50</t>
  </si>
  <si>
    <t>inst25x25_40_57</t>
  </si>
  <si>
    <t>inst25x25_40_62</t>
  </si>
  <si>
    <t>inst25x25_40_79</t>
  </si>
  <si>
    <t>inst25x25_40_80</t>
  </si>
  <si>
    <t>inst25x25_40_89</t>
  </si>
  <si>
    <t>inst25x25_40_9</t>
  </si>
  <si>
    <t>inst25x25_40_99</t>
  </si>
  <si>
    <t>inst25x25_45_1</t>
  </si>
  <si>
    <t>inst25x25_45_11</t>
  </si>
  <si>
    <t>inst25x25_45_14</t>
  </si>
  <si>
    <t>inst25x25_45_15</t>
  </si>
  <si>
    <t>inst25x25_45_16</t>
  </si>
  <si>
    <t>inst25x25_45_17</t>
  </si>
  <si>
    <t>inst25x25_45_18</t>
  </si>
  <si>
    <t>inst25x25_45_19</t>
  </si>
  <si>
    <t>inst25x25_45_2</t>
  </si>
  <si>
    <t>inst25x25_45_21</t>
  </si>
  <si>
    <t>inst25x25_45_23</t>
  </si>
  <si>
    <t>inst25x25_45_24</t>
  </si>
  <si>
    <t>inst25x25_45_26</t>
  </si>
  <si>
    <t>inst25x25_45_29</t>
  </si>
  <si>
    <t>inst25x25_45_3</t>
  </si>
  <si>
    <t>inst25x25_45_32</t>
  </si>
  <si>
    <t>inst25x25_45_33</t>
  </si>
  <si>
    <t>inst25x25_45_34</t>
  </si>
  <si>
    <t>inst25x25_45_35</t>
  </si>
  <si>
    <t>inst25x25_45_36</t>
  </si>
  <si>
    <t>inst25x25_45_37</t>
  </si>
  <si>
    <t>inst25x25_45_4</t>
  </si>
  <si>
    <t>inst25x25_45_40</t>
  </si>
  <si>
    <t>inst25x25_45_41</t>
  </si>
  <si>
    <t>inst25x25_45_43</t>
  </si>
  <si>
    <t>inst25x25_45_46</t>
  </si>
  <si>
    <t>inst25x25_45_51</t>
  </si>
  <si>
    <t>inst25x25_45_52</t>
  </si>
  <si>
    <t>inst25x25_45_54</t>
  </si>
  <si>
    <t>inst25x25_45_56</t>
  </si>
  <si>
    <t>inst25x25_45_57</t>
  </si>
  <si>
    <t>inst25x25_45_58</t>
  </si>
  <si>
    <t>inst25x25_45_59</t>
  </si>
  <si>
    <t>inst25x25_45_6</t>
  </si>
  <si>
    <t>inst25x25_45_62</t>
  </si>
  <si>
    <t>inst25x25_45_63</t>
  </si>
  <si>
    <t>inst25x25_45_64</t>
  </si>
  <si>
    <t>inst25x25_45_65</t>
  </si>
  <si>
    <t>inst25x25_45_67</t>
  </si>
  <si>
    <t>inst25x25_45_69</t>
  </si>
  <si>
    <t>inst25x25_45_7</t>
  </si>
  <si>
    <t>inst25x25_45_71</t>
  </si>
  <si>
    <t>inst25x25_45_72</t>
  </si>
  <si>
    <t>inst25x25_45_73</t>
  </si>
  <si>
    <t>inst25x25_45_75</t>
  </si>
  <si>
    <t>inst25x25_45_76</t>
  </si>
  <si>
    <t>inst25x25_45_77</t>
  </si>
  <si>
    <t>inst25x25_45_8</t>
  </si>
  <si>
    <t>inst25x25_45_82</t>
  </si>
  <si>
    <t>inst25x25_45_83</t>
  </si>
  <si>
    <t>inst25x25_45_84</t>
  </si>
  <si>
    <t>inst25x25_45_85</t>
  </si>
  <si>
    <t>inst25x25_45_86</t>
  </si>
  <si>
    <t>inst25x25_45_87</t>
  </si>
  <si>
    <t>inst25x25_45_88</t>
  </si>
  <si>
    <t>inst25x25_45_89</t>
  </si>
  <si>
    <t>inst25x25_45_90</t>
  </si>
  <si>
    <t>inst25x25_45_92</t>
  </si>
  <si>
    <t>inst25x25_45_93</t>
  </si>
  <si>
    <t>inst25x25_45_95</t>
  </si>
  <si>
    <t>inst25x25_45_96</t>
  </si>
  <si>
    <t>inst25x25_45_97</t>
  </si>
  <si>
    <t>inst25x25_45_99</t>
  </si>
  <si>
    <t>inst25x25_50_1</t>
  </si>
  <si>
    <t>inst25x25_50_11</t>
  </si>
  <si>
    <t>inst25x25_50_14</t>
  </si>
  <si>
    <t>inst25x25_50_16</t>
  </si>
  <si>
    <t>inst25x25_50_17</t>
  </si>
  <si>
    <t>inst25x25_50_18</t>
  </si>
  <si>
    <t>inst25x25_50_21</t>
  </si>
  <si>
    <t>inst25x25_50_26</t>
  </si>
  <si>
    <t>inst25x25_50_29</t>
  </si>
  <si>
    <t>inst25x25_50_34</t>
  </si>
  <si>
    <t>inst25x25_50_44</t>
  </si>
  <si>
    <t>inst25x25_50_50</t>
  </si>
  <si>
    <t>inst25x25_50_51</t>
  </si>
  <si>
    <t>inst25x25_50_57</t>
  </si>
  <si>
    <t>inst25x25_50_64</t>
  </si>
  <si>
    <t>inst25x25_50_69</t>
  </si>
  <si>
    <t>inst25x25_50_71</t>
  </si>
  <si>
    <t>inst25x25_50_80</t>
  </si>
  <si>
    <t>inst25x25_50_82</t>
  </si>
  <si>
    <t>inst25x25_50_83</t>
  </si>
  <si>
    <t>inst25x25_50_86</t>
  </si>
  <si>
    <t>inst25x25_50_9</t>
  </si>
  <si>
    <t>inst25x25_50_91</t>
  </si>
  <si>
    <t>inst25x25_50_92</t>
  </si>
  <si>
    <t>inst25x25_50_93</t>
  </si>
  <si>
    <t>inst25x25_50_94</t>
  </si>
  <si>
    <t>inst25x25_50_99</t>
  </si>
  <si>
    <t>puzzle_size</t>
  </si>
  <si>
    <t>nAnts_alg0</t>
  </si>
  <si>
    <t>threads_alg0</t>
  </si>
  <si>
    <t>numcolonies_alg0</t>
  </si>
  <si>
    <t>numacs_alg0</t>
  </si>
  <si>
    <t>q0_alg0</t>
  </si>
  <si>
    <t>rho_alg0</t>
  </si>
  <si>
    <t>bve_alg0</t>
  </si>
  <si>
    <t>timeout_alg0</t>
  </si>
  <si>
    <t>success_rate_alg0</t>
  </si>
  <si>
    <t>time_mean_alg0</t>
  </si>
  <si>
    <t>time_std_alg0</t>
  </si>
  <si>
    <t>iter_mean_alg0</t>
  </si>
  <si>
    <t>with_comm_alg0</t>
  </si>
  <si>
    <t>without_comm_alg0</t>
  </si>
  <si>
    <t>cp_initial_mean_alg0</t>
  </si>
  <si>
    <t>cp_ant_mean_alg0</t>
  </si>
  <si>
    <t>cp_total_mean_alg0</t>
  </si>
  <si>
    <t>acs_time_mean_alg0</t>
  </si>
  <si>
    <t>dcm_aco_time_mean_alg0</t>
  </si>
  <si>
    <t>coop_game_mean_alg0</t>
  </si>
  <si>
    <t>pheromone_fusion_mean_alg0</t>
  </si>
  <si>
    <t>public_path_mean_alg0</t>
  </si>
  <si>
    <t>communication_time_mean_alg0</t>
  </si>
  <si>
    <t>cp_percentage_alg0</t>
  </si>
  <si>
    <t>acs_time_percentage_alg0</t>
  </si>
  <si>
    <t>dcm_aco_time_percentage_alg0</t>
  </si>
  <si>
    <t>coop_game_percentage_alg0</t>
  </si>
  <si>
    <t>pheromone_fusion_percentage_alg0</t>
  </si>
  <si>
    <t>public_path_percentage_alg0</t>
  </si>
  <si>
    <t>communication_time_percentage_alg0</t>
  </si>
  <si>
    <t>N/A</t>
  </si>
  <si>
    <t>nAnts_alg3</t>
  </si>
  <si>
    <t>threads_alg3</t>
  </si>
  <si>
    <t>numcolonies_alg3</t>
  </si>
  <si>
    <t>numacs_alg3</t>
  </si>
  <si>
    <t>q0_alg3</t>
  </si>
  <si>
    <t>rho_alg3</t>
  </si>
  <si>
    <t>bve_alg3</t>
  </si>
  <si>
    <t>timeout_alg3</t>
  </si>
  <si>
    <t>success_rate_alg3</t>
  </si>
  <si>
    <t>time_mean_alg3</t>
  </si>
  <si>
    <t>time_std_alg3</t>
  </si>
  <si>
    <t>iter_mean_alg3</t>
  </si>
  <si>
    <t>with_comm_alg3</t>
  </si>
  <si>
    <t>without_comm_alg3</t>
  </si>
  <si>
    <t>cp_initial_mean_alg3</t>
  </si>
  <si>
    <t>cp_ant_mean_alg3</t>
  </si>
  <si>
    <t>cp_total_mean_alg3</t>
  </si>
  <si>
    <t>acs_time_mean_alg3</t>
  </si>
  <si>
    <t>dcm_aco_time_mean_alg3</t>
  </si>
  <si>
    <t>coop_game_mean_alg3</t>
  </si>
  <si>
    <t>pheromone_fusion_mean_alg3</t>
  </si>
  <si>
    <t>public_path_mean_alg3</t>
  </si>
  <si>
    <t>communication_time_mean_alg3</t>
  </si>
  <si>
    <t>cp_percentage_alg3</t>
  </si>
  <si>
    <t>acs_time_percentage_alg3</t>
  </si>
  <si>
    <t>dcm_aco_time_percentage_alg3</t>
  </si>
  <si>
    <t>coop_game_percentage_alg3</t>
  </si>
  <si>
    <t>pheromone_fusion_percentage_alg3</t>
  </si>
  <si>
    <t>public_path_percentage_alg3</t>
  </si>
  <si>
    <t>communication_time_percentage_alg3</t>
  </si>
  <si>
    <t>nAnts_alg4</t>
  </si>
  <si>
    <t>threads_alg4</t>
  </si>
  <si>
    <t>numcolonies_alg4</t>
  </si>
  <si>
    <t>numacs_alg4</t>
  </si>
  <si>
    <t>q0_alg4</t>
  </si>
  <si>
    <t>rho_alg4</t>
  </si>
  <si>
    <t>bve_alg4</t>
  </si>
  <si>
    <t>timeout_alg4</t>
  </si>
  <si>
    <t>success_rate_alg4</t>
  </si>
  <si>
    <t>time_mean_alg4</t>
  </si>
  <si>
    <t>time_std_alg4</t>
  </si>
  <si>
    <t>iter_mean_alg4</t>
  </si>
  <si>
    <t>with_comm_alg4</t>
  </si>
  <si>
    <t>without_comm_alg4</t>
  </si>
  <si>
    <t>cp_initial_mean_alg4</t>
  </si>
  <si>
    <t>cp_ant_mean_alg4</t>
  </si>
  <si>
    <t>cp_total_mean_alg4</t>
  </si>
  <si>
    <t>acs_time_mean_alg4</t>
  </si>
  <si>
    <t>dcm_aco_time_mean_alg4</t>
  </si>
  <si>
    <t>coop_game_mean_alg4</t>
  </si>
  <si>
    <t>pheromone_fusion_mean_alg4</t>
  </si>
  <si>
    <t>public_path_mean_alg4</t>
  </si>
  <si>
    <t>communication_time_mean_alg4</t>
  </si>
  <si>
    <t>cp_percentage_alg4</t>
  </si>
  <si>
    <t>acs_time_percentage_alg4</t>
  </si>
  <si>
    <t>dcm_aco_time_percentage_alg4</t>
  </si>
  <si>
    <t>coop_game_percentage_alg4</t>
  </si>
  <si>
    <t>pheromone_fusion_percentage_alg4</t>
  </si>
  <si>
    <t>public_path_percentage_alg4</t>
  </si>
  <si>
    <t>communication_time_percentage_alg4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</si>
</sst>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1A8CB-C2F0-41A8-8A4A-F1BC799DD047}">
  <dimension ref="A1:AE101"/>
  <sheetViews>
    <sheetView workbookViewId="0">
      <selection sqref="A1:A1048576"/>
    </sheetView>
  </sheetViews>
  <sheetFormatPr defaultRowHeight="14.4" x14ac:dyDescent="0.3"/>
  <cols>
    <col min="1" max="1" width="21.44140625" customWidth="1"/>
    <col min="2" max="2" width="12.77734375" customWidth="1"/>
    <col min="3" max="3" width="12.5546875" customWidth="1"/>
    <col min="4" max="4" width="16.21875" customWidth="1"/>
  </cols>
  <sheetData>
    <row r="1" spans="1:31" x14ac:dyDescent="0.3">
      <c r="A1" t="s">
        <v>106</v>
      </c>
      <c r="B1" t="s">
        <v>107</v>
      </c>
      <c r="C1" t="s">
        <v>108</v>
      </c>
      <c r="D1" t="s">
        <v>109</v>
      </c>
      <c r="E1" t="s">
        <v>110</v>
      </c>
      <c r="F1" t="s">
        <v>111</v>
      </c>
      <c r="G1" t="s">
        <v>112</v>
      </c>
      <c r="H1" t="s">
        <v>113</v>
      </c>
      <c r="I1" t="s">
        <v>114</v>
      </c>
      <c r="J1" t="s">
        <v>115</v>
      </c>
      <c r="K1" t="s">
        <v>116</v>
      </c>
      <c r="L1" t="s">
        <v>117</v>
      </c>
      <c r="M1" t="s">
        <v>118</v>
      </c>
      <c r="N1" t="s">
        <v>119</v>
      </c>
      <c r="O1" t="s">
        <v>120</v>
      </c>
      <c r="P1" t="s">
        <v>121</v>
      </c>
      <c r="Q1" t="s">
        <v>122</v>
      </c>
      <c r="R1" t="s">
        <v>123</v>
      </c>
      <c r="S1" t="s">
        <v>124</v>
      </c>
      <c r="T1" t="s">
        <v>125</v>
      </c>
      <c r="U1" t="s">
        <v>126</v>
      </c>
      <c r="V1" t="s">
        <v>127</v>
      </c>
      <c r="W1" t="s">
        <v>128</v>
      </c>
      <c r="X1" t="s">
        <v>129</v>
      </c>
      <c r="Y1" t="s">
        <v>130</v>
      </c>
      <c r="Z1" t="s">
        <v>131</v>
      </c>
      <c r="AA1" t="s">
        <v>132</v>
      </c>
      <c r="AB1" t="s">
        <v>133</v>
      </c>
      <c r="AC1" t="s">
        <v>134</v>
      </c>
      <c r="AD1" t="s">
        <v>135</v>
      </c>
      <c r="AE1" t="s">
        <v>136</v>
      </c>
    </row>
    <row r="2" spans="1:31" x14ac:dyDescent="0.3">
      <c r="A2" t="s">
        <v>6</v>
      </c>
      <c r="B2">
        <v>10</v>
      </c>
      <c r="C2" t="s">
        <v>137</v>
      </c>
      <c r="D2" t="s">
        <v>137</v>
      </c>
      <c r="E2" t="s">
        <v>137</v>
      </c>
      <c r="F2">
        <v>0.9</v>
      </c>
      <c r="G2">
        <v>0.9</v>
      </c>
      <c r="H2">
        <v>5.0000000000000001E-3</v>
      </c>
      <c r="I2">
        <v>120</v>
      </c>
      <c r="J2">
        <v>99</v>
      </c>
      <c r="K2">
        <v>3.3822429999999999</v>
      </c>
      <c r="L2">
        <v>6.2100989999999996</v>
      </c>
      <c r="M2">
        <v>81</v>
      </c>
      <c r="N2" t="s">
        <v>137</v>
      </c>
      <c r="O2" t="s">
        <v>137</v>
      </c>
      <c r="P2">
        <v>5.8180000000000003E-3</v>
      </c>
      <c r="Q2">
        <v>2.2711190000000001</v>
      </c>
      <c r="R2">
        <v>2.2769360000000001</v>
      </c>
      <c r="S2">
        <v>1.105307</v>
      </c>
      <c r="T2" t="s">
        <v>137</v>
      </c>
      <c r="U2" t="s">
        <v>137</v>
      </c>
      <c r="V2" t="s">
        <v>137</v>
      </c>
      <c r="W2" t="s">
        <v>137</v>
      </c>
      <c r="X2" t="s">
        <v>137</v>
      </c>
      <c r="Y2">
        <v>67.319999999999993</v>
      </c>
      <c r="Z2">
        <v>32.68</v>
      </c>
      <c r="AA2" t="s">
        <v>137</v>
      </c>
      <c r="AB2" t="s">
        <v>137</v>
      </c>
      <c r="AC2" t="s">
        <v>137</v>
      </c>
      <c r="AD2" t="s">
        <v>137</v>
      </c>
      <c r="AE2" t="s">
        <v>137</v>
      </c>
    </row>
    <row r="3" spans="1:31" x14ac:dyDescent="0.3">
      <c r="A3" t="s">
        <v>7</v>
      </c>
      <c r="B3">
        <v>10</v>
      </c>
      <c r="C3" t="s">
        <v>137</v>
      </c>
      <c r="D3" t="s">
        <v>137</v>
      </c>
      <c r="E3" t="s">
        <v>137</v>
      </c>
      <c r="F3">
        <v>0.9</v>
      </c>
      <c r="G3">
        <v>0.9</v>
      </c>
      <c r="H3">
        <v>5.0000000000000001E-3</v>
      </c>
      <c r="I3">
        <v>120</v>
      </c>
      <c r="J3">
        <v>96</v>
      </c>
      <c r="K3">
        <v>6.014875</v>
      </c>
      <c r="L3">
        <v>8.5443449999999999</v>
      </c>
      <c r="M3">
        <v>140.94999999999999</v>
      </c>
      <c r="N3" t="s">
        <v>137</v>
      </c>
      <c r="O3" t="s">
        <v>137</v>
      </c>
      <c r="P3">
        <v>5.659E-3</v>
      </c>
      <c r="Q3">
        <v>3.9395289999999998</v>
      </c>
      <c r="R3">
        <v>3.9451890000000001</v>
      </c>
      <c r="S3">
        <v>2.0696859999999999</v>
      </c>
      <c r="T3" t="s">
        <v>137</v>
      </c>
      <c r="U3" t="s">
        <v>137</v>
      </c>
      <c r="V3" t="s">
        <v>137</v>
      </c>
      <c r="W3" t="s">
        <v>137</v>
      </c>
      <c r="X3" t="s">
        <v>137</v>
      </c>
      <c r="Y3">
        <v>65.59</v>
      </c>
      <c r="Z3">
        <v>34.409999999999997</v>
      </c>
      <c r="AA3" t="s">
        <v>137</v>
      </c>
      <c r="AB3" t="s">
        <v>137</v>
      </c>
      <c r="AC3" t="s">
        <v>137</v>
      </c>
      <c r="AD3" t="s">
        <v>137</v>
      </c>
      <c r="AE3" t="s">
        <v>137</v>
      </c>
    </row>
    <row r="4" spans="1:31" x14ac:dyDescent="0.3">
      <c r="A4" t="s">
        <v>8</v>
      </c>
      <c r="B4">
        <v>10</v>
      </c>
      <c r="C4" t="s">
        <v>137</v>
      </c>
      <c r="D4" t="s">
        <v>137</v>
      </c>
      <c r="E4" t="s">
        <v>137</v>
      </c>
      <c r="F4">
        <v>0.9</v>
      </c>
      <c r="G4">
        <v>0.9</v>
      </c>
      <c r="H4">
        <v>5.0000000000000001E-3</v>
      </c>
      <c r="I4">
        <v>120</v>
      </c>
      <c r="J4">
        <v>96</v>
      </c>
      <c r="K4">
        <v>7.6785100000000002</v>
      </c>
      <c r="L4">
        <v>9.2067119999999996</v>
      </c>
      <c r="M4">
        <v>180.09</v>
      </c>
      <c r="N4" t="s">
        <v>137</v>
      </c>
      <c r="O4" t="s">
        <v>137</v>
      </c>
      <c r="P4">
        <v>5.7990000000000003E-3</v>
      </c>
      <c r="Q4">
        <v>4.996715</v>
      </c>
      <c r="R4">
        <v>5.0025149999999998</v>
      </c>
      <c r="S4">
        <v>2.6759949999999999</v>
      </c>
      <c r="T4" t="s">
        <v>137</v>
      </c>
      <c r="U4" t="s">
        <v>137</v>
      </c>
      <c r="V4" t="s">
        <v>137</v>
      </c>
      <c r="W4" t="s">
        <v>137</v>
      </c>
      <c r="X4" t="s">
        <v>137</v>
      </c>
      <c r="Y4">
        <v>65.150000000000006</v>
      </c>
      <c r="Z4">
        <v>34.85</v>
      </c>
      <c r="AA4" t="s">
        <v>137</v>
      </c>
      <c r="AB4" t="s">
        <v>137</v>
      </c>
      <c r="AC4" t="s">
        <v>137</v>
      </c>
      <c r="AD4" t="s">
        <v>137</v>
      </c>
      <c r="AE4" t="s">
        <v>137</v>
      </c>
    </row>
    <row r="5" spans="1:31" x14ac:dyDescent="0.3">
      <c r="A5" t="s">
        <v>9</v>
      </c>
      <c r="B5">
        <v>10</v>
      </c>
      <c r="C5" t="s">
        <v>137</v>
      </c>
      <c r="D5" t="s">
        <v>137</v>
      </c>
      <c r="E5" t="s">
        <v>137</v>
      </c>
      <c r="F5">
        <v>0.9</v>
      </c>
      <c r="G5">
        <v>0.9</v>
      </c>
      <c r="H5">
        <v>5.0000000000000001E-3</v>
      </c>
      <c r="I5">
        <v>120</v>
      </c>
      <c r="J5">
        <v>97</v>
      </c>
      <c r="K5">
        <v>4.357386</v>
      </c>
      <c r="L5">
        <v>4.6830069999999999</v>
      </c>
      <c r="M5">
        <v>104.8</v>
      </c>
      <c r="N5" t="s">
        <v>137</v>
      </c>
      <c r="O5" t="s">
        <v>137</v>
      </c>
      <c r="P5">
        <v>5.6940000000000003E-3</v>
      </c>
      <c r="Q5">
        <v>3.2021229999999998</v>
      </c>
      <c r="R5">
        <v>3.2078169999999999</v>
      </c>
      <c r="S5">
        <v>1.1495690000000001</v>
      </c>
      <c r="T5" t="s">
        <v>137</v>
      </c>
      <c r="U5" t="s">
        <v>137</v>
      </c>
      <c r="V5" t="s">
        <v>137</v>
      </c>
      <c r="W5" t="s">
        <v>137</v>
      </c>
      <c r="X5" t="s">
        <v>137</v>
      </c>
      <c r="Y5">
        <v>73.62</v>
      </c>
      <c r="Z5">
        <v>26.38</v>
      </c>
      <c r="AA5" t="s">
        <v>137</v>
      </c>
      <c r="AB5" t="s">
        <v>137</v>
      </c>
      <c r="AC5" t="s">
        <v>137</v>
      </c>
      <c r="AD5" t="s">
        <v>137</v>
      </c>
      <c r="AE5" t="s">
        <v>137</v>
      </c>
    </row>
    <row r="6" spans="1:31" x14ac:dyDescent="0.3">
      <c r="A6" t="s">
        <v>10</v>
      </c>
      <c r="B6">
        <v>10</v>
      </c>
      <c r="C6" t="s">
        <v>137</v>
      </c>
      <c r="D6" t="s">
        <v>137</v>
      </c>
      <c r="E6" t="s">
        <v>137</v>
      </c>
      <c r="F6">
        <v>0.9</v>
      </c>
      <c r="G6">
        <v>0.9</v>
      </c>
      <c r="H6">
        <v>5.0000000000000001E-3</v>
      </c>
      <c r="I6">
        <v>120</v>
      </c>
      <c r="J6">
        <v>92</v>
      </c>
      <c r="K6">
        <v>9.802543</v>
      </c>
      <c r="L6">
        <v>19.625461000000001</v>
      </c>
      <c r="M6">
        <v>228.77</v>
      </c>
      <c r="N6" t="s">
        <v>137</v>
      </c>
      <c r="O6" t="s">
        <v>137</v>
      </c>
      <c r="P6">
        <v>5.7109999999999999E-3</v>
      </c>
      <c r="Q6">
        <v>4.5994260000000002</v>
      </c>
      <c r="R6">
        <v>4.6051380000000002</v>
      </c>
      <c r="S6">
        <v>5.1974049999999998</v>
      </c>
      <c r="T6" t="s">
        <v>137</v>
      </c>
      <c r="U6" t="s">
        <v>137</v>
      </c>
      <c r="V6" t="s">
        <v>137</v>
      </c>
      <c r="W6" t="s">
        <v>137</v>
      </c>
      <c r="X6" t="s">
        <v>137</v>
      </c>
      <c r="Y6">
        <v>46.98</v>
      </c>
      <c r="Z6">
        <v>53.02</v>
      </c>
      <c r="AA6" t="s">
        <v>137</v>
      </c>
      <c r="AB6" t="s">
        <v>137</v>
      </c>
      <c r="AC6" t="s">
        <v>137</v>
      </c>
      <c r="AD6" t="s">
        <v>137</v>
      </c>
      <c r="AE6" t="s">
        <v>137</v>
      </c>
    </row>
    <row r="7" spans="1:31" x14ac:dyDescent="0.3">
      <c r="A7" t="s">
        <v>11</v>
      </c>
      <c r="B7">
        <v>10</v>
      </c>
      <c r="C7" t="s">
        <v>137</v>
      </c>
      <c r="D7" t="s">
        <v>137</v>
      </c>
      <c r="E7" t="s">
        <v>137</v>
      </c>
      <c r="F7">
        <v>0.9</v>
      </c>
      <c r="G7">
        <v>0.9</v>
      </c>
      <c r="H7">
        <v>5.0000000000000001E-3</v>
      </c>
      <c r="I7">
        <v>120</v>
      </c>
      <c r="J7">
        <v>93</v>
      </c>
      <c r="K7">
        <v>8.0626909999999992</v>
      </c>
      <c r="L7">
        <v>13.05574</v>
      </c>
      <c r="M7">
        <v>187.19</v>
      </c>
      <c r="N7" t="s">
        <v>137</v>
      </c>
      <c r="O7" t="s">
        <v>137</v>
      </c>
      <c r="P7">
        <v>5.9129999999999999E-3</v>
      </c>
      <c r="Q7">
        <v>4.5988579999999999</v>
      </c>
      <c r="R7">
        <v>4.6047700000000003</v>
      </c>
      <c r="S7">
        <v>3.4579200000000001</v>
      </c>
      <c r="T7" t="s">
        <v>137</v>
      </c>
      <c r="U7" t="s">
        <v>137</v>
      </c>
      <c r="V7" t="s">
        <v>137</v>
      </c>
      <c r="W7" t="s">
        <v>137</v>
      </c>
      <c r="X7" t="s">
        <v>137</v>
      </c>
      <c r="Y7">
        <v>57.11</v>
      </c>
      <c r="Z7">
        <v>42.89</v>
      </c>
      <c r="AA7" t="s">
        <v>137</v>
      </c>
      <c r="AB7" t="s">
        <v>137</v>
      </c>
      <c r="AC7" t="s">
        <v>137</v>
      </c>
      <c r="AD7" t="s">
        <v>137</v>
      </c>
      <c r="AE7" t="s">
        <v>137</v>
      </c>
    </row>
    <row r="8" spans="1:31" x14ac:dyDescent="0.3">
      <c r="A8" t="s">
        <v>12</v>
      </c>
      <c r="B8">
        <v>10</v>
      </c>
      <c r="C8" t="s">
        <v>137</v>
      </c>
      <c r="D8" t="s">
        <v>137</v>
      </c>
      <c r="E8" t="s">
        <v>137</v>
      </c>
      <c r="F8">
        <v>0.9</v>
      </c>
      <c r="G8">
        <v>0.9</v>
      </c>
      <c r="H8">
        <v>5.0000000000000001E-3</v>
      </c>
      <c r="I8">
        <v>120</v>
      </c>
      <c r="J8">
        <v>99</v>
      </c>
      <c r="K8">
        <v>3.2147039999999998</v>
      </c>
      <c r="L8">
        <v>5.6347550000000002</v>
      </c>
      <c r="M8">
        <v>77.89</v>
      </c>
      <c r="N8" t="s">
        <v>137</v>
      </c>
      <c r="O8" t="s">
        <v>137</v>
      </c>
      <c r="P8">
        <v>5.7609999999999996E-3</v>
      </c>
      <c r="Q8">
        <v>2.1925210000000002</v>
      </c>
      <c r="R8">
        <v>2.1982819999999998</v>
      </c>
      <c r="S8">
        <v>1.0164230000000001</v>
      </c>
      <c r="T8" t="s">
        <v>137</v>
      </c>
      <c r="U8" t="s">
        <v>137</v>
      </c>
      <c r="V8" t="s">
        <v>137</v>
      </c>
      <c r="W8" t="s">
        <v>137</v>
      </c>
      <c r="X8" t="s">
        <v>137</v>
      </c>
      <c r="Y8">
        <v>68.38</v>
      </c>
      <c r="Z8">
        <v>31.62</v>
      </c>
      <c r="AA8" t="s">
        <v>137</v>
      </c>
      <c r="AB8" t="s">
        <v>137</v>
      </c>
      <c r="AC8" t="s">
        <v>137</v>
      </c>
      <c r="AD8" t="s">
        <v>137</v>
      </c>
      <c r="AE8" t="s">
        <v>137</v>
      </c>
    </row>
    <row r="9" spans="1:31" x14ac:dyDescent="0.3">
      <c r="A9" t="s">
        <v>13</v>
      </c>
      <c r="B9">
        <v>10</v>
      </c>
      <c r="C9" t="s">
        <v>137</v>
      </c>
      <c r="D9" t="s">
        <v>137</v>
      </c>
      <c r="E9" t="s">
        <v>137</v>
      </c>
      <c r="F9">
        <v>0.9</v>
      </c>
      <c r="G9">
        <v>0.9</v>
      </c>
      <c r="H9">
        <v>5.0000000000000001E-3</v>
      </c>
      <c r="I9">
        <v>120</v>
      </c>
      <c r="J9">
        <v>96</v>
      </c>
      <c r="K9">
        <v>3.684984</v>
      </c>
      <c r="L9">
        <v>5.4529069999999997</v>
      </c>
      <c r="M9">
        <v>92.35</v>
      </c>
      <c r="N9" t="s">
        <v>137</v>
      </c>
      <c r="O9" t="s">
        <v>137</v>
      </c>
      <c r="P9">
        <v>5.8430000000000001E-3</v>
      </c>
      <c r="Q9">
        <v>2.5945049999999998</v>
      </c>
      <c r="R9">
        <v>2.6003479999999999</v>
      </c>
      <c r="S9">
        <v>1.084635</v>
      </c>
      <c r="T9" t="s">
        <v>137</v>
      </c>
      <c r="U9" t="s">
        <v>137</v>
      </c>
      <c r="V9" t="s">
        <v>137</v>
      </c>
      <c r="W9" t="s">
        <v>137</v>
      </c>
      <c r="X9" t="s">
        <v>137</v>
      </c>
      <c r="Y9">
        <v>70.569999999999993</v>
      </c>
      <c r="Z9">
        <v>29.43</v>
      </c>
      <c r="AA9" t="s">
        <v>137</v>
      </c>
      <c r="AB9" t="s">
        <v>137</v>
      </c>
      <c r="AC9" t="s">
        <v>137</v>
      </c>
      <c r="AD9" t="s">
        <v>137</v>
      </c>
      <c r="AE9" t="s">
        <v>137</v>
      </c>
    </row>
    <row r="10" spans="1:31" x14ac:dyDescent="0.3">
      <c r="A10" t="s">
        <v>14</v>
      </c>
      <c r="B10">
        <v>10</v>
      </c>
      <c r="C10" t="s">
        <v>137</v>
      </c>
      <c r="D10" t="s">
        <v>137</v>
      </c>
      <c r="E10" t="s">
        <v>137</v>
      </c>
      <c r="F10">
        <v>0.9</v>
      </c>
      <c r="G10">
        <v>0.9</v>
      </c>
      <c r="H10">
        <v>5.0000000000000001E-3</v>
      </c>
      <c r="I10">
        <v>120</v>
      </c>
      <c r="J10">
        <v>97</v>
      </c>
      <c r="K10">
        <v>6.9178940000000004</v>
      </c>
      <c r="L10">
        <v>16.209624999999999</v>
      </c>
      <c r="M10">
        <v>173.94</v>
      </c>
      <c r="N10" t="s">
        <v>137</v>
      </c>
      <c r="O10" t="s">
        <v>137</v>
      </c>
      <c r="P10">
        <v>5.5579999999999996E-3</v>
      </c>
      <c r="Q10">
        <v>3.4318390000000001</v>
      </c>
      <c r="R10">
        <v>3.4373969999999998</v>
      </c>
      <c r="S10">
        <v>3.4804970000000002</v>
      </c>
      <c r="T10" t="s">
        <v>137</v>
      </c>
      <c r="U10" t="s">
        <v>137</v>
      </c>
      <c r="V10" t="s">
        <v>137</v>
      </c>
      <c r="W10" t="s">
        <v>137</v>
      </c>
      <c r="X10" t="s">
        <v>137</v>
      </c>
      <c r="Y10">
        <v>49.69</v>
      </c>
      <c r="Z10">
        <v>50.31</v>
      </c>
      <c r="AA10" t="s">
        <v>137</v>
      </c>
      <c r="AB10" t="s">
        <v>137</v>
      </c>
      <c r="AC10" t="s">
        <v>137</v>
      </c>
      <c r="AD10" t="s">
        <v>137</v>
      </c>
      <c r="AE10" t="s">
        <v>137</v>
      </c>
    </row>
    <row r="11" spans="1:31" x14ac:dyDescent="0.3">
      <c r="A11" t="s">
        <v>15</v>
      </c>
      <c r="B11">
        <v>10</v>
      </c>
      <c r="C11" t="s">
        <v>137</v>
      </c>
      <c r="D11" t="s">
        <v>137</v>
      </c>
      <c r="E11" t="s">
        <v>137</v>
      </c>
      <c r="F11">
        <v>0.9</v>
      </c>
      <c r="G11">
        <v>0.9</v>
      </c>
      <c r="H11">
        <v>5.0000000000000001E-3</v>
      </c>
      <c r="I11">
        <v>120</v>
      </c>
      <c r="J11">
        <v>97</v>
      </c>
      <c r="K11">
        <v>5.4257039999999996</v>
      </c>
      <c r="L11">
        <v>16.567532</v>
      </c>
      <c r="M11">
        <v>128.63999999999999</v>
      </c>
      <c r="N11" t="s">
        <v>137</v>
      </c>
      <c r="O11" t="s">
        <v>137</v>
      </c>
      <c r="P11">
        <v>6.1500000000000001E-3</v>
      </c>
      <c r="Q11">
        <v>2.5851120000000001</v>
      </c>
      <c r="R11">
        <v>2.5912630000000001</v>
      </c>
      <c r="S11">
        <v>2.8344420000000001</v>
      </c>
      <c r="T11" t="s">
        <v>137</v>
      </c>
      <c r="U11" t="s">
        <v>137</v>
      </c>
      <c r="V11" t="s">
        <v>137</v>
      </c>
      <c r="W11" t="s">
        <v>137</v>
      </c>
      <c r="X11" t="s">
        <v>137</v>
      </c>
      <c r="Y11">
        <v>47.76</v>
      </c>
      <c r="Z11">
        <v>52.24</v>
      </c>
      <c r="AA11" t="s">
        <v>137</v>
      </c>
      <c r="AB11" t="s">
        <v>137</v>
      </c>
      <c r="AC11" t="s">
        <v>137</v>
      </c>
      <c r="AD11" t="s">
        <v>137</v>
      </c>
      <c r="AE11" t="s">
        <v>137</v>
      </c>
    </row>
    <row r="12" spans="1:31" x14ac:dyDescent="0.3">
      <c r="A12" t="s">
        <v>16</v>
      </c>
      <c r="B12">
        <v>10</v>
      </c>
      <c r="C12" t="s">
        <v>137</v>
      </c>
      <c r="D12" t="s">
        <v>137</v>
      </c>
      <c r="E12" t="s">
        <v>137</v>
      </c>
      <c r="F12">
        <v>0.9</v>
      </c>
      <c r="G12">
        <v>0.9</v>
      </c>
      <c r="H12">
        <v>5.0000000000000001E-3</v>
      </c>
      <c r="I12">
        <v>120</v>
      </c>
      <c r="J12">
        <v>37</v>
      </c>
      <c r="K12">
        <v>19.547435</v>
      </c>
      <c r="L12">
        <v>21.964074</v>
      </c>
      <c r="M12">
        <v>624.08000000000004</v>
      </c>
      <c r="N12" t="s">
        <v>137</v>
      </c>
      <c r="O12" t="s">
        <v>137</v>
      </c>
      <c r="P12">
        <v>6.3749999999999996E-3</v>
      </c>
      <c r="Q12">
        <v>8.7329369999999997</v>
      </c>
      <c r="R12">
        <v>8.739312</v>
      </c>
      <c r="S12">
        <v>10.808123999999999</v>
      </c>
      <c r="T12" t="s">
        <v>137</v>
      </c>
      <c r="U12" t="s">
        <v>137</v>
      </c>
      <c r="V12" t="s">
        <v>137</v>
      </c>
      <c r="W12" t="s">
        <v>137</v>
      </c>
      <c r="X12" t="s">
        <v>137</v>
      </c>
      <c r="Y12">
        <v>44.71</v>
      </c>
      <c r="Z12">
        <v>55.29</v>
      </c>
      <c r="AA12" t="s">
        <v>137</v>
      </c>
      <c r="AB12" t="s">
        <v>137</v>
      </c>
      <c r="AC12" t="s">
        <v>137</v>
      </c>
      <c r="AD12" t="s">
        <v>137</v>
      </c>
      <c r="AE12" t="s">
        <v>137</v>
      </c>
    </row>
    <row r="13" spans="1:31" x14ac:dyDescent="0.3">
      <c r="A13" t="s">
        <v>17</v>
      </c>
      <c r="B13">
        <v>10</v>
      </c>
      <c r="C13" t="s">
        <v>137</v>
      </c>
      <c r="D13" t="s">
        <v>137</v>
      </c>
      <c r="E13" t="s">
        <v>137</v>
      </c>
      <c r="F13">
        <v>0.9</v>
      </c>
      <c r="G13">
        <v>0.9</v>
      </c>
      <c r="H13">
        <v>5.0000000000000001E-3</v>
      </c>
      <c r="I13">
        <v>120</v>
      </c>
      <c r="J13">
        <v>84</v>
      </c>
      <c r="K13">
        <v>10.310214999999999</v>
      </c>
      <c r="L13">
        <v>19.044917999999999</v>
      </c>
      <c r="M13">
        <v>338.83</v>
      </c>
      <c r="N13" t="s">
        <v>137</v>
      </c>
      <c r="O13" t="s">
        <v>137</v>
      </c>
      <c r="P13">
        <v>6.502E-3</v>
      </c>
      <c r="Q13">
        <v>4.560759</v>
      </c>
      <c r="R13">
        <v>4.5672610000000002</v>
      </c>
      <c r="S13">
        <v>5.7429550000000003</v>
      </c>
      <c r="T13" t="s">
        <v>137</v>
      </c>
      <c r="U13" t="s">
        <v>137</v>
      </c>
      <c r="V13" t="s">
        <v>137</v>
      </c>
      <c r="W13" t="s">
        <v>137</v>
      </c>
      <c r="X13" t="s">
        <v>137</v>
      </c>
      <c r="Y13">
        <v>44.3</v>
      </c>
      <c r="Z13">
        <v>55.7</v>
      </c>
      <c r="AA13" t="s">
        <v>137</v>
      </c>
      <c r="AB13" t="s">
        <v>137</v>
      </c>
      <c r="AC13" t="s">
        <v>137</v>
      </c>
      <c r="AD13" t="s">
        <v>137</v>
      </c>
      <c r="AE13" t="s">
        <v>137</v>
      </c>
    </row>
    <row r="14" spans="1:31" x14ac:dyDescent="0.3">
      <c r="A14" t="s">
        <v>18</v>
      </c>
      <c r="B14">
        <v>10</v>
      </c>
      <c r="C14" t="s">
        <v>137</v>
      </c>
      <c r="D14" t="s">
        <v>137</v>
      </c>
      <c r="E14" t="s">
        <v>137</v>
      </c>
      <c r="F14">
        <v>0.9</v>
      </c>
      <c r="G14">
        <v>0.9</v>
      </c>
      <c r="H14">
        <v>5.0000000000000001E-3</v>
      </c>
      <c r="I14">
        <v>120</v>
      </c>
      <c r="J14">
        <v>93</v>
      </c>
      <c r="K14">
        <v>4.9662540000000002</v>
      </c>
      <c r="L14">
        <v>11.362121999999999</v>
      </c>
      <c r="M14">
        <v>173.97</v>
      </c>
      <c r="N14" t="s">
        <v>137</v>
      </c>
      <c r="O14" t="s">
        <v>137</v>
      </c>
      <c r="P14">
        <v>6.1650000000000003E-3</v>
      </c>
      <c r="Q14">
        <v>2.6124480000000001</v>
      </c>
      <c r="R14">
        <v>2.6186129999999999</v>
      </c>
      <c r="S14">
        <v>2.3476409999999999</v>
      </c>
      <c r="T14" t="s">
        <v>137</v>
      </c>
      <c r="U14" t="s">
        <v>137</v>
      </c>
      <c r="V14" t="s">
        <v>137</v>
      </c>
      <c r="W14" t="s">
        <v>137</v>
      </c>
      <c r="X14" t="s">
        <v>137</v>
      </c>
      <c r="Y14">
        <v>52.73</v>
      </c>
      <c r="Z14">
        <v>47.27</v>
      </c>
      <c r="AA14" t="s">
        <v>137</v>
      </c>
      <c r="AB14" t="s">
        <v>137</v>
      </c>
      <c r="AC14" t="s">
        <v>137</v>
      </c>
      <c r="AD14" t="s">
        <v>137</v>
      </c>
      <c r="AE14" t="s">
        <v>137</v>
      </c>
    </row>
    <row r="15" spans="1:31" x14ac:dyDescent="0.3">
      <c r="A15" t="s">
        <v>19</v>
      </c>
      <c r="B15">
        <v>10</v>
      </c>
      <c r="C15" t="s">
        <v>137</v>
      </c>
      <c r="D15" t="s">
        <v>137</v>
      </c>
      <c r="E15" t="s">
        <v>137</v>
      </c>
      <c r="F15">
        <v>0.9</v>
      </c>
      <c r="G15">
        <v>0.9</v>
      </c>
      <c r="H15">
        <v>5.0000000000000001E-3</v>
      </c>
      <c r="I15">
        <v>120</v>
      </c>
      <c r="J15">
        <v>67</v>
      </c>
      <c r="K15">
        <v>15.083443000000001</v>
      </c>
      <c r="L15">
        <v>20.248811</v>
      </c>
      <c r="M15">
        <v>549.79</v>
      </c>
      <c r="N15" t="s">
        <v>137</v>
      </c>
      <c r="O15" t="s">
        <v>137</v>
      </c>
      <c r="P15">
        <v>7.1190000000000003E-3</v>
      </c>
      <c r="Q15">
        <v>6.8301360000000004</v>
      </c>
      <c r="R15">
        <v>6.8372549999999999</v>
      </c>
      <c r="S15">
        <v>8.2461880000000001</v>
      </c>
      <c r="T15" t="s">
        <v>137</v>
      </c>
      <c r="U15" t="s">
        <v>137</v>
      </c>
      <c r="V15" t="s">
        <v>137</v>
      </c>
      <c r="W15" t="s">
        <v>137</v>
      </c>
      <c r="X15" t="s">
        <v>137</v>
      </c>
      <c r="Y15">
        <v>45.33</v>
      </c>
      <c r="Z15">
        <v>54.67</v>
      </c>
      <c r="AA15" t="s">
        <v>137</v>
      </c>
      <c r="AB15" t="s">
        <v>137</v>
      </c>
      <c r="AC15" t="s">
        <v>137</v>
      </c>
      <c r="AD15" t="s">
        <v>137</v>
      </c>
      <c r="AE15" t="s">
        <v>137</v>
      </c>
    </row>
    <row r="16" spans="1:31" x14ac:dyDescent="0.3">
      <c r="A16" t="s">
        <v>20</v>
      </c>
      <c r="B16">
        <v>10</v>
      </c>
      <c r="C16" t="s">
        <v>137</v>
      </c>
      <c r="D16" t="s">
        <v>137</v>
      </c>
      <c r="E16" t="s">
        <v>137</v>
      </c>
      <c r="F16">
        <v>0.9</v>
      </c>
      <c r="G16">
        <v>0.9</v>
      </c>
      <c r="H16">
        <v>5.0000000000000001E-3</v>
      </c>
      <c r="I16">
        <v>120</v>
      </c>
      <c r="J16">
        <v>80</v>
      </c>
      <c r="K16">
        <v>9.2361439999999995</v>
      </c>
      <c r="L16">
        <v>16.574379</v>
      </c>
      <c r="M16">
        <v>304.31</v>
      </c>
      <c r="N16" t="s">
        <v>137</v>
      </c>
      <c r="O16" t="s">
        <v>137</v>
      </c>
      <c r="P16">
        <v>6.2599999999999999E-3</v>
      </c>
      <c r="Q16">
        <v>4.2357750000000003</v>
      </c>
      <c r="R16">
        <v>4.2420359999999997</v>
      </c>
      <c r="S16">
        <v>4.9941089999999999</v>
      </c>
      <c r="T16" t="s">
        <v>137</v>
      </c>
      <c r="U16" t="s">
        <v>137</v>
      </c>
      <c r="V16" t="s">
        <v>137</v>
      </c>
      <c r="W16" t="s">
        <v>137</v>
      </c>
      <c r="X16" t="s">
        <v>137</v>
      </c>
      <c r="Y16">
        <v>45.93</v>
      </c>
      <c r="Z16">
        <v>54.07</v>
      </c>
      <c r="AA16" t="s">
        <v>137</v>
      </c>
      <c r="AB16" t="s">
        <v>137</v>
      </c>
      <c r="AC16" t="s">
        <v>137</v>
      </c>
      <c r="AD16" t="s">
        <v>137</v>
      </c>
      <c r="AE16" t="s">
        <v>137</v>
      </c>
    </row>
    <row r="17" spans="1:31" x14ac:dyDescent="0.3">
      <c r="A17" t="s">
        <v>21</v>
      </c>
      <c r="B17">
        <v>10</v>
      </c>
      <c r="C17" t="s">
        <v>137</v>
      </c>
      <c r="D17" t="s">
        <v>137</v>
      </c>
      <c r="E17" t="s">
        <v>137</v>
      </c>
      <c r="F17">
        <v>0.9</v>
      </c>
      <c r="G17">
        <v>0.9</v>
      </c>
      <c r="H17">
        <v>5.0000000000000001E-3</v>
      </c>
      <c r="I17">
        <v>120</v>
      </c>
      <c r="J17">
        <v>84</v>
      </c>
      <c r="K17">
        <v>11.934984</v>
      </c>
      <c r="L17">
        <v>20.645416000000001</v>
      </c>
      <c r="M17">
        <v>369.88</v>
      </c>
      <c r="N17" t="s">
        <v>137</v>
      </c>
      <c r="O17" t="s">
        <v>137</v>
      </c>
      <c r="P17">
        <v>6.2509999999999996E-3</v>
      </c>
      <c r="Q17">
        <v>5.2845959999999996</v>
      </c>
      <c r="R17">
        <v>5.2908470000000003</v>
      </c>
      <c r="S17">
        <v>6.6441369999999997</v>
      </c>
      <c r="T17" t="s">
        <v>137</v>
      </c>
      <c r="U17" t="s">
        <v>137</v>
      </c>
      <c r="V17" t="s">
        <v>137</v>
      </c>
      <c r="W17" t="s">
        <v>137</v>
      </c>
      <c r="X17" t="s">
        <v>137</v>
      </c>
      <c r="Y17">
        <v>44.33</v>
      </c>
      <c r="Z17">
        <v>55.67</v>
      </c>
      <c r="AA17" t="s">
        <v>137</v>
      </c>
      <c r="AB17" t="s">
        <v>137</v>
      </c>
      <c r="AC17" t="s">
        <v>137</v>
      </c>
      <c r="AD17" t="s">
        <v>137</v>
      </c>
      <c r="AE17" t="s">
        <v>137</v>
      </c>
    </row>
    <row r="18" spans="1:31" x14ac:dyDescent="0.3">
      <c r="A18" t="s">
        <v>22</v>
      </c>
      <c r="B18">
        <v>10</v>
      </c>
      <c r="C18" t="s">
        <v>137</v>
      </c>
      <c r="D18" t="s">
        <v>137</v>
      </c>
      <c r="E18" t="s">
        <v>137</v>
      </c>
      <c r="F18">
        <v>0.9</v>
      </c>
      <c r="G18">
        <v>0.9</v>
      </c>
      <c r="H18">
        <v>5.0000000000000001E-3</v>
      </c>
      <c r="I18">
        <v>120</v>
      </c>
      <c r="J18">
        <v>92</v>
      </c>
      <c r="K18">
        <v>5.7859949999999998</v>
      </c>
      <c r="L18">
        <v>11.912679000000001</v>
      </c>
      <c r="M18">
        <v>183.51</v>
      </c>
      <c r="N18" t="s">
        <v>137</v>
      </c>
      <c r="O18" t="s">
        <v>137</v>
      </c>
      <c r="P18">
        <v>6.4019999999999997E-3</v>
      </c>
      <c r="Q18">
        <v>3.168161</v>
      </c>
      <c r="R18">
        <v>3.174563</v>
      </c>
      <c r="S18">
        <v>2.6114320000000002</v>
      </c>
      <c r="T18" t="s">
        <v>137</v>
      </c>
      <c r="U18" t="s">
        <v>137</v>
      </c>
      <c r="V18" t="s">
        <v>137</v>
      </c>
      <c r="W18" t="s">
        <v>137</v>
      </c>
      <c r="X18" t="s">
        <v>137</v>
      </c>
      <c r="Y18">
        <v>54.87</v>
      </c>
      <c r="Z18">
        <v>45.13</v>
      </c>
      <c r="AA18" t="s">
        <v>137</v>
      </c>
      <c r="AB18" t="s">
        <v>137</v>
      </c>
      <c r="AC18" t="s">
        <v>137</v>
      </c>
      <c r="AD18" t="s">
        <v>137</v>
      </c>
      <c r="AE18" t="s">
        <v>137</v>
      </c>
    </row>
    <row r="19" spans="1:31" x14ac:dyDescent="0.3">
      <c r="A19" t="s">
        <v>23</v>
      </c>
      <c r="B19">
        <v>10</v>
      </c>
      <c r="C19" t="s">
        <v>137</v>
      </c>
      <c r="D19" t="s">
        <v>137</v>
      </c>
      <c r="E19" t="s">
        <v>137</v>
      </c>
      <c r="F19">
        <v>0.9</v>
      </c>
      <c r="G19">
        <v>0.9</v>
      </c>
      <c r="H19">
        <v>5.0000000000000001E-3</v>
      </c>
      <c r="I19">
        <v>120</v>
      </c>
      <c r="J19">
        <v>75</v>
      </c>
      <c r="K19">
        <v>13.479756</v>
      </c>
      <c r="L19">
        <v>19.830580999999999</v>
      </c>
      <c r="M19">
        <v>463.05</v>
      </c>
      <c r="N19" t="s">
        <v>137</v>
      </c>
      <c r="O19" t="s">
        <v>137</v>
      </c>
      <c r="P19">
        <v>6.5009999999999998E-3</v>
      </c>
      <c r="Q19">
        <v>6.2251240000000001</v>
      </c>
      <c r="R19">
        <v>6.2316250000000002</v>
      </c>
      <c r="S19">
        <v>7.2481309999999999</v>
      </c>
      <c r="T19" t="s">
        <v>137</v>
      </c>
      <c r="U19" t="s">
        <v>137</v>
      </c>
      <c r="V19" t="s">
        <v>137</v>
      </c>
      <c r="W19" t="s">
        <v>137</v>
      </c>
      <c r="X19" t="s">
        <v>137</v>
      </c>
      <c r="Y19">
        <v>46.23</v>
      </c>
      <c r="Z19">
        <v>53.77</v>
      </c>
      <c r="AA19" t="s">
        <v>137</v>
      </c>
      <c r="AB19" t="s">
        <v>137</v>
      </c>
      <c r="AC19" t="s">
        <v>137</v>
      </c>
      <c r="AD19" t="s">
        <v>137</v>
      </c>
      <c r="AE19" t="s">
        <v>137</v>
      </c>
    </row>
    <row r="20" spans="1:31" x14ac:dyDescent="0.3">
      <c r="A20" t="s">
        <v>24</v>
      </c>
      <c r="B20">
        <v>10</v>
      </c>
      <c r="C20" t="s">
        <v>137</v>
      </c>
      <c r="D20" t="s">
        <v>137</v>
      </c>
      <c r="E20" t="s">
        <v>137</v>
      </c>
      <c r="F20">
        <v>0.9</v>
      </c>
      <c r="G20">
        <v>0.9</v>
      </c>
      <c r="H20">
        <v>5.0000000000000001E-3</v>
      </c>
      <c r="I20">
        <v>120</v>
      </c>
      <c r="J20">
        <v>68</v>
      </c>
      <c r="K20">
        <v>14.089071000000001</v>
      </c>
      <c r="L20">
        <v>20.960863</v>
      </c>
      <c r="M20">
        <v>467.31</v>
      </c>
      <c r="N20" t="s">
        <v>137</v>
      </c>
      <c r="O20" t="s">
        <v>137</v>
      </c>
      <c r="P20">
        <v>6.2069999999999998E-3</v>
      </c>
      <c r="Q20">
        <v>6.0379170000000002</v>
      </c>
      <c r="R20">
        <v>6.0441240000000001</v>
      </c>
      <c r="S20">
        <v>8.0449470000000005</v>
      </c>
      <c r="T20" t="s">
        <v>137</v>
      </c>
      <c r="U20" t="s">
        <v>137</v>
      </c>
      <c r="V20" t="s">
        <v>137</v>
      </c>
      <c r="W20" t="s">
        <v>137</v>
      </c>
      <c r="X20" t="s">
        <v>137</v>
      </c>
      <c r="Y20">
        <v>42.9</v>
      </c>
      <c r="Z20">
        <v>57.1</v>
      </c>
      <c r="AA20" t="s">
        <v>137</v>
      </c>
      <c r="AB20" t="s">
        <v>137</v>
      </c>
      <c r="AC20" t="s">
        <v>137</v>
      </c>
      <c r="AD20" t="s">
        <v>137</v>
      </c>
      <c r="AE20" t="s">
        <v>137</v>
      </c>
    </row>
    <row r="21" spans="1:31" x14ac:dyDescent="0.3">
      <c r="A21" t="s">
        <v>25</v>
      </c>
      <c r="B21">
        <v>10</v>
      </c>
      <c r="C21" t="s">
        <v>137</v>
      </c>
      <c r="D21" t="s">
        <v>137</v>
      </c>
      <c r="E21" t="s">
        <v>137</v>
      </c>
      <c r="F21">
        <v>0.9</v>
      </c>
      <c r="G21">
        <v>0.9</v>
      </c>
      <c r="H21">
        <v>5.0000000000000001E-3</v>
      </c>
      <c r="I21">
        <v>120</v>
      </c>
      <c r="J21">
        <v>66</v>
      </c>
      <c r="K21">
        <v>10.868178</v>
      </c>
      <c r="L21">
        <v>16.769604000000001</v>
      </c>
      <c r="M21">
        <v>358.74</v>
      </c>
      <c r="N21" t="s">
        <v>137</v>
      </c>
      <c r="O21" t="s">
        <v>137</v>
      </c>
      <c r="P21">
        <v>6.019E-3</v>
      </c>
      <c r="Q21">
        <v>5.493493</v>
      </c>
      <c r="R21">
        <v>5.4995120000000002</v>
      </c>
      <c r="S21">
        <v>5.368665</v>
      </c>
      <c r="T21" t="s">
        <v>137</v>
      </c>
      <c r="U21" t="s">
        <v>137</v>
      </c>
      <c r="V21" t="s">
        <v>137</v>
      </c>
      <c r="W21" t="s">
        <v>137</v>
      </c>
      <c r="X21" t="s">
        <v>137</v>
      </c>
      <c r="Y21">
        <v>50.6</v>
      </c>
      <c r="Z21">
        <v>49.4</v>
      </c>
      <c r="AA21" t="s">
        <v>137</v>
      </c>
      <c r="AB21" t="s">
        <v>137</v>
      </c>
      <c r="AC21" t="s">
        <v>137</v>
      </c>
      <c r="AD21" t="s">
        <v>137</v>
      </c>
      <c r="AE21" t="s">
        <v>137</v>
      </c>
    </row>
    <row r="22" spans="1:31" x14ac:dyDescent="0.3">
      <c r="A22" t="s">
        <v>26</v>
      </c>
      <c r="B22">
        <v>10</v>
      </c>
      <c r="C22" t="s">
        <v>137</v>
      </c>
      <c r="D22" t="s">
        <v>137</v>
      </c>
      <c r="E22" t="s">
        <v>137</v>
      </c>
      <c r="F22">
        <v>0.9</v>
      </c>
      <c r="G22">
        <v>0.9</v>
      </c>
      <c r="H22">
        <v>5.0000000000000001E-3</v>
      </c>
      <c r="I22">
        <v>120</v>
      </c>
      <c r="J22">
        <v>80</v>
      </c>
      <c r="K22">
        <v>10.494408999999999</v>
      </c>
      <c r="L22">
        <v>17.121483999999999</v>
      </c>
      <c r="M22">
        <v>340.9</v>
      </c>
      <c r="N22" t="s">
        <v>137</v>
      </c>
      <c r="O22" t="s">
        <v>137</v>
      </c>
      <c r="P22">
        <v>5.8729999999999997E-3</v>
      </c>
      <c r="Q22">
        <v>5.1119969999999997</v>
      </c>
      <c r="R22">
        <v>5.1178699999999999</v>
      </c>
      <c r="S22">
        <v>5.3765390000000002</v>
      </c>
      <c r="T22" t="s">
        <v>137</v>
      </c>
      <c r="U22" t="s">
        <v>137</v>
      </c>
      <c r="V22" t="s">
        <v>137</v>
      </c>
      <c r="W22" t="s">
        <v>137</v>
      </c>
      <c r="X22" t="s">
        <v>137</v>
      </c>
      <c r="Y22">
        <v>48.77</v>
      </c>
      <c r="Z22">
        <v>51.23</v>
      </c>
      <c r="AA22" t="s">
        <v>137</v>
      </c>
      <c r="AB22" t="s">
        <v>137</v>
      </c>
      <c r="AC22" t="s">
        <v>137</v>
      </c>
      <c r="AD22" t="s">
        <v>137</v>
      </c>
      <c r="AE22" t="s">
        <v>137</v>
      </c>
    </row>
    <row r="23" spans="1:31" x14ac:dyDescent="0.3">
      <c r="A23" t="s">
        <v>27</v>
      </c>
      <c r="B23">
        <v>10</v>
      </c>
      <c r="C23" t="s">
        <v>137</v>
      </c>
      <c r="D23" t="s">
        <v>137</v>
      </c>
      <c r="E23" t="s">
        <v>137</v>
      </c>
      <c r="F23">
        <v>0.9</v>
      </c>
      <c r="G23">
        <v>0.9</v>
      </c>
      <c r="H23">
        <v>5.0000000000000001E-3</v>
      </c>
      <c r="I23">
        <v>120</v>
      </c>
      <c r="J23">
        <v>42</v>
      </c>
      <c r="K23">
        <v>22.033151</v>
      </c>
      <c r="L23">
        <v>27.030949</v>
      </c>
      <c r="M23">
        <v>767.98</v>
      </c>
      <c r="N23" t="s">
        <v>137</v>
      </c>
      <c r="O23" t="s">
        <v>137</v>
      </c>
      <c r="P23">
        <v>6.1650000000000003E-3</v>
      </c>
      <c r="Q23">
        <v>8.4079770000000007</v>
      </c>
      <c r="R23">
        <v>8.414142</v>
      </c>
      <c r="S23">
        <v>13.619009</v>
      </c>
      <c r="T23" t="s">
        <v>137</v>
      </c>
      <c r="U23" t="s">
        <v>137</v>
      </c>
      <c r="V23" t="s">
        <v>137</v>
      </c>
      <c r="W23" t="s">
        <v>137</v>
      </c>
      <c r="X23" t="s">
        <v>137</v>
      </c>
      <c r="Y23">
        <v>38.19</v>
      </c>
      <c r="Z23">
        <v>61.81</v>
      </c>
      <c r="AA23" t="s">
        <v>137</v>
      </c>
      <c r="AB23" t="s">
        <v>137</v>
      </c>
      <c r="AC23" t="s">
        <v>137</v>
      </c>
      <c r="AD23" t="s">
        <v>137</v>
      </c>
      <c r="AE23" t="s">
        <v>137</v>
      </c>
    </row>
    <row r="24" spans="1:31" x14ac:dyDescent="0.3">
      <c r="A24" t="s">
        <v>28</v>
      </c>
      <c r="B24">
        <v>10</v>
      </c>
      <c r="C24" t="s">
        <v>137</v>
      </c>
      <c r="D24" t="s">
        <v>137</v>
      </c>
      <c r="E24" t="s">
        <v>137</v>
      </c>
      <c r="F24">
        <v>0.9</v>
      </c>
      <c r="G24">
        <v>0.9</v>
      </c>
      <c r="H24">
        <v>5.0000000000000001E-3</v>
      </c>
      <c r="I24">
        <v>120</v>
      </c>
      <c r="J24">
        <v>73</v>
      </c>
      <c r="K24">
        <v>13.788535</v>
      </c>
      <c r="L24">
        <v>21.275739999999999</v>
      </c>
      <c r="M24">
        <v>447.22</v>
      </c>
      <c r="N24" t="s">
        <v>137</v>
      </c>
      <c r="O24" t="s">
        <v>137</v>
      </c>
      <c r="P24">
        <v>6.3610000000000003E-3</v>
      </c>
      <c r="Q24">
        <v>6.215427</v>
      </c>
      <c r="R24">
        <v>6.2217890000000002</v>
      </c>
      <c r="S24">
        <v>7.5667470000000003</v>
      </c>
      <c r="T24" t="s">
        <v>137</v>
      </c>
      <c r="U24" t="s">
        <v>137</v>
      </c>
      <c r="V24" t="s">
        <v>137</v>
      </c>
      <c r="W24" t="s">
        <v>137</v>
      </c>
      <c r="X24" t="s">
        <v>137</v>
      </c>
      <c r="Y24">
        <v>45.12</v>
      </c>
      <c r="Z24">
        <v>54.88</v>
      </c>
      <c r="AA24" t="s">
        <v>137</v>
      </c>
      <c r="AB24" t="s">
        <v>137</v>
      </c>
      <c r="AC24" t="s">
        <v>137</v>
      </c>
      <c r="AD24" t="s">
        <v>137</v>
      </c>
      <c r="AE24" t="s">
        <v>137</v>
      </c>
    </row>
    <row r="25" spans="1:31" x14ac:dyDescent="0.3">
      <c r="A25" t="s">
        <v>29</v>
      </c>
      <c r="B25">
        <v>10</v>
      </c>
      <c r="C25" t="s">
        <v>137</v>
      </c>
      <c r="D25" t="s">
        <v>137</v>
      </c>
      <c r="E25" t="s">
        <v>137</v>
      </c>
      <c r="F25">
        <v>0.9</v>
      </c>
      <c r="G25">
        <v>0.9</v>
      </c>
      <c r="H25">
        <v>5.0000000000000001E-3</v>
      </c>
      <c r="I25">
        <v>120</v>
      </c>
      <c r="J25">
        <v>80</v>
      </c>
      <c r="K25">
        <v>12.637886999999999</v>
      </c>
      <c r="L25">
        <v>21.258557</v>
      </c>
      <c r="M25">
        <v>392.81</v>
      </c>
      <c r="N25" t="s">
        <v>137</v>
      </c>
      <c r="O25" t="s">
        <v>137</v>
      </c>
      <c r="P25">
        <v>6.4970000000000002E-3</v>
      </c>
      <c r="Q25">
        <v>5.6872749999999996</v>
      </c>
      <c r="R25">
        <v>5.6937720000000001</v>
      </c>
      <c r="S25">
        <v>6.944115</v>
      </c>
      <c r="T25" t="s">
        <v>137</v>
      </c>
      <c r="U25" t="s">
        <v>137</v>
      </c>
      <c r="V25" t="s">
        <v>137</v>
      </c>
      <c r="W25" t="s">
        <v>137</v>
      </c>
      <c r="X25" t="s">
        <v>137</v>
      </c>
      <c r="Y25">
        <v>45.05</v>
      </c>
      <c r="Z25">
        <v>54.95</v>
      </c>
      <c r="AA25" t="s">
        <v>137</v>
      </c>
      <c r="AB25" t="s">
        <v>137</v>
      </c>
      <c r="AC25" t="s">
        <v>137</v>
      </c>
      <c r="AD25" t="s">
        <v>137</v>
      </c>
      <c r="AE25" t="s">
        <v>137</v>
      </c>
    </row>
    <row r="26" spans="1:31" x14ac:dyDescent="0.3">
      <c r="A26" t="s">
        <v>30</v>
      </c>
      <c r="B26">
        <v>10</v>
      </c>
      <c r="C26" t="s">
        <v>137</v>
      </c>
      <c r="D26" t="s">
        <v>137</v>
      </c>
      <c r="E26" t="s">
        <v>137</v>
      </c>
      <c r="F26">
        <v>0.9</v>
      </c>
      <c r="G26">
        <v>0.9</v>
      </c>
      <c r="H26">
        <v>5.0000000000000001E-3</v>
      </c>
      <c r="I26">
        <v>120</v>
      </c>
      <c r="J26">
        <v>79</v>
      </c>
      <c r="K26">
        <v>14.245595</v>
      </c>
      <c r="L26">
        <v>22.011188000000001</v>
      </c>
      <c r="M26">
        <v>455.43</v>
      </c>
      <c r="N26" t="s">
        <v>137</v>
      </c>
      <c r="O26" t="s">
        <v>137</v>
      </c>
      <c r="P26">
        <v>5.8890000000000001E-3</v>
      </c>
      <c r="Q26">
        <v>6.5917589999999997</v>
      </c>
      <c r="R26">
        <v>6.5976480000000004</v>
      </c>
      <c r="S26">
        <v>7.6479470000000003</v>
      </c>
      <c r="T26" t="s">
        <v>137</v>
      </c>
      <c r="U26" t="s">
        <v>137</v>
      </c>
      <c r="V26" t="s">
        <v>137</v>
      </c>
      <c r="W26" t="s">
        <v>137</v>
      </c>
      <c r="X26" t="s">
        <v>137</v>
      </c>
      <c r="Y26">
        <v>46.31</v>
      </c>
      <c r="Z26">
        <v>53.69</v>
      </c>
      <c r="AA26" t="s">
        <v>137</v>
      </c>
      <c r="AB26" t="s">
        <v>137</v>
      </c>
      <c r="AC26" t="s">
        <v>137</v>
      </c>
      <c r="AD26" t="s">
        <v>137</v>
      </c>
      <c r="AE26" t="s">
        <v>137</v>
      </c>
    </row>
    <row r="27" spans="1:31" x14ac:dyDescent="0.3">
      <c r="A27" t="s">
        <v>31</v>
      </c>
      <c r="B27">
        <v>10</v>
      </c>
      <c r="C27" t="s">
        <v>137</v>
      </c>
      <c r="D27" t="s">
        <v>137</v>
      </c>
      <c r="E27" t="s">
        <v>137</v>
      </c>
      <c r="F27">
        <v>0.9</v>
      </c>
      <c r="G27">
        <v>0.9</v>
      </c>
      <c r="H27">
        <v>5.0000000000000001E-3</v>
      </c>
      <c r="I27">
        <v>120</v>
      </c>
      <c r="J27">
        <v>89</v>
      </c>
      <c r="K27">
        <v>10.727854000000001</v>
      </c>
      <c r="L27">
        <v>19.237801999999999</v>
      </c>
      <c r="M27">
        <v>345.06</v>
      </c>
      <c r="N27" t="s">
        <v>137</v>
      </c>
      <c r="O27" t="s">
        <v>137</v>
      </c>
      <c r="P27">
        <v>6.4700000000000001E-3</v>
      </c>
      <c r="Q27">
        <v>4.9417660000000003</v>
      </c>
      <c r="R27">
        <v>4.9482359999999996</v>
      </c>
      <c r="S27">
        <v>5.779617</v>
      </c>
      <c r="T27" t="s">
        <v>137</v>
      </c>
      <c r="U27" t="s">
        <v>137</v>
      </c>
      <c r="V27" t="s">
        <v>137</v>
      </c>
      <c r="W27" t="s">
        <v>137</v>
      </c>
      <c r="X27" t="s">
        <v>137</v>
      </c>
      <c r="Y27">
        <v>46.13</v>
      </c>
      <c r="Z27">
        <v>53.87</v>
      </c>
      <c r="AA27" t="s">
        <v>137</v>
      </c>
      <c r="AB27" t="s">
        <v>137</v>
      </c>
      <c r="AC27" t="s">
        <v>137</v>
      </c>
      <c r="AD27" t="s">
        <v>137</v>
      </c>
      <c r="AE27" t="s">
        <v>137</v>
      </c>
    </row>
    <row r="28" spans="1:31" x14ac:dyDescent="0.3">
      <c r="A28" t="s">
        <v>32</v>
      </c>
      <c r="B28">
        <v>10</v>
      </c>
      <c r="C28" t="s">
        <v>137</v>
      </c>
      <c r="D28" t="s">
        <v>137</v>
      </c>
      <c r="E28" t="s">
        <v>137</v>
      </c>
      <c r="F28">
        <v>0.9</v>
      </c>
      <c r="G28">
        <v>0.9</v>
      </c>
      <c r="H28">
        <v>5.0000000000000001E-3</v>
      </c>
      <c r="I28">
        <v>120</v>
      </c>
      <c r="J28">
        <v>86</v>
      </c>
      <c r="K28">
        <v>11.61355</v>
      </c>
      <c r="L28">
        <v>22.716239000000002</v>
      </c>
      <c r="M28">
        <v>374.64</v>
      </c>
      <c r="N28" t="s">
        <v>137</v>
      </c>
      <c r="O28" t="s">
        <v>137</v>
      </c>
      <c r="P28">
        <v>6.4190000000000002E-3</v>
      </c>
      <c r="Q28">
        <v>4.812157</v>
      </c>
      <c r="R28">
        <v>4.8185760000000002</v>
      </c>
      <c r="S28">
        <v>6.7949739999999998</v>
      </c>
      <c r="T28" t="s">
        <v>137</v>
      </c>
      <c r="U28" t="s">
        <v>137</v>
      </c>
      <c r="V28" t="s">
        <v>137</v>
      </c>
      <c r="W28" t="s">
        <v>137</v>
      </c>
      <c r="X28" t="s">
        <v>137</v>
      </c>
      <c r="Y28">
        <v>41.49</v>
      </c>
      <c r="Z28">
        <v>58.51</v>
      </c>
      <c r="AA28" t="s">
        <v>137</v>
      </c>
      <c r="AB28" t="s">
        <v>137</v>
      </c>
      <c r="AC28" t="s">
        <v>137</v>
      </c>
      <c r="AD28" t="s">
        <v>137</v>
      </c>
      <c r="AE28" t="s">
        <v>137</v>
      </c>
    </row>
    <row r="29" spans="1:31" x14ac:dyDescent="0.3">
      <c r="A29" t="s">
        <v>33</v>
      </c>
      <c r="B29">
        <v>10</v>
      </c>
      <c r="C29" t="s">
        <v>137</v>
      </c>
      <c r="D29" t="s">
        <v>137</v>
      </c>
      <c r="E29" t="s">
        <v>137</v>
      </c>
      <c r="F29">
        <v>0.9</v>
      </c>
      <c r="G29">
        <v>0.9</v>
      </c>
      <c r="H29">
        <v>5.0000000000000001E-3</v>
      </c>
      <c r="I29">
        <v>120</v>
      </c>
      <c r="J29">
        <v>33</v>
      </c>
      <c r="K29">
        <v>21.694077</v>
      </c>
      <c r="L29">
        <v>23.046937</v>
      </c>
      <c r="M29">
        <v>702.18</v>
      </c>
      <c r="N29" t="s">
        <v>137</v>
      </c>
      <c r="O29" t="s">
        <v>137</v>
      </c>
      <c r="P29">
        <v>6.7019999999999996E-3</v>
      </c>
      <c r="Q29">
        <v>9.0616959999999995</v>
      </c>
      <c r="R29">
        <v>9.0683980000000002</v>
      </c>
      <c r="S29">
        <v>12.625678000000001</v>
      </c>
      <c r="T29" t="s">
        <v>137</v>
      </c>
      <c r="U29" t="s">
        <v>137</v>
      </c>
      <c r="V29" t="s">
        <v>137</v>
      </c>
      <c r="W29" t="s">
        <v>137</v>
      </c>
      <c r="X29" t="s">
        <v>137</v>
      </c>
      <c r="Y29">
        <v>41.8</v>
      </c>
      <c r="Z29">
        <v>58.2</v>
      </c>
      <c r="AA29" t="s">
        <v>137</v>
      </c>
      <c r="AB29" t="s">
        <v>137</v>
      </c>
      <c r="AC29" t="s">
        <v>137</v>
      </c>
      <c r="AD29" t="s">
        <v>137</v>
      </c>
      <c r="AE29" t="s">
        <v>137</v>
      </c>
    </row>
    <row r="30" spans="1:31" x14ac:dyDescent="0.3">
      <c r="A30" t="s">
        <v>34</v>
      </c>
      <c r="B30">
        <v>10</v>
      </c>
      <c r="C30" t="s">
        <v>137</v>
      </c>
      <c r="D30" t="s">
        <v>137</v>
      </c>
      <c r="E30" t="s">
        <v>137</v>
      </c>
      <c r="F30">
        <v>0.9</v>
      </c>
      <c r="G30">
        <v>0.9</v>
      </c>
      <c r="H30">
        <v>5.0000000000000001E-3</v>
      </c>
      <c r="I30">
        <v>120</v>
      </c>
      <c r="J30">
        <v>44</v>
      </c>
      <c r="K30">
        <v>23.468062</v>
      </c>
      <c r="L30">
        <v>33.387318999999998</v>
      </c>
      <c r="M30">
        <v>823.48</v>
      </c>
      <c r="N30" t="s">
        <v>137</v>
      </c>
      <c r="O30" t="s">
        <v>137</v>
      </c>
      <c r="P30">
        <v>6.0769999999999999E-3</v>
      </c>
      <c r="Q30">
        <v>7.2876859999999999</v>
      </c>
      <c r="R30">
        <v>7.2937630000000002</v>
      </c>
      <c r="S30">
        <v>16.174299000000001</v>
      </c>
      <c r="T30" t="s">
        <v>137</v>
      </c>
      <c r="U30" t="s">
        <v>137</v>
      </c>
      <c r="V30" t="s">
        <v>137</v>
      </c>
      <c r="W30" t="s">
        <v>137</v>
      </c>
      <c r="X30" t="s">
        <v>137</v>
      </c>
      <c r="Y30">
        <v>31.08</v>
      </c>
      <c r="Z30">
        <v>68.92</v>
      </c>
      <c r="AA30" t="s">
        <v>137</v>
      </c>
      <c r="AB30" t="s">
        <v>137</v>
      </c>
      <c r="AC30" t="s">
        <v>137</v>
      </c>
      <c r="AD30" t="s">
        <v>137</v>
      </c>
      <c r="AE30" t="s">
        <v>137</v>
      </c>
    </row>
    <row r="31" spans="1:31" x14ac:dyDescent="0.3">
      <c r="A31" t="s">
        <v>35</v>
      </c>
      <c r="B31">
        <v>10</v>
      </c>
      <c r="C31" t="s">
        <v>137</v>
      </c>
      <c r="D31" t="s">
        <v>137</v>
      </c>
      <c r="E31" t="s">
        <v>137</v>
      </c>
      <c r="F31">
        <v>0.9</v>
      </c>
      <c r="G31">
        <v>0.9</v>
      </c>
      <c r="H31">
        <v>5.0000000000000001E-3</v>
      </c>
      <c r="I31">
        <v>120</v>
      </c>
      <c r="J31">
        <v>71</v>
      </c>
      <c r="K31">
        <v>14.189844000000001</v>
      </c>
      <c r="L31">
        <v>21.782627000000002</v>
      </c>
      <c r="M31">
        <v>471.42</v>
      </c>
      <c r="N31" t="s">
        <v>137</v>
      </c>
      <c r="O31" t="s">
        <v>137</v>
      </c>
      <c r="P31">
        <v>5.9379999999999997E-3</v>
      </c>
      <c r="Q31">
        <v>6.1074510000000002</v>
      </c>
      <c r="R31">
        <v>6.1133889999999997</v>
      </c>
      <c r="S31">
        <v>8.0764549999999993</v>
      </c>
      <c r="T31" t="s">
        <v>137</v>
      </c>
      <c r="U31" t="s">
        <v>137</v>
      </c>
      <c r="V31" t="s">
        <v>137</v>
      </c>
      <c r="W31" t="s">
        <v>137</v>
      </c>
      <c r="X31" t="s">
        <v>137</v>
      </c>
      <c r="Y31">
        <v>43.08</v>
      </c>
      <c r="Z31">
        <v>56.92</v>
      </c>
      <c r="AA31" t="s">
        <v>137</v>
      </c>
      <c r="AB31" t="s">
        <v>137</v>
      </c>
      <c r="AC31" t="s">
        <v>137</v>
      </c>
      <c r="AD31" t="s">
        <v>137</v>
      </c>
      <c r="AE31" t="s">
        <v>137</v>
      </c>
    </row>
    <row r="32" spans="1:31" x14ac:dyDescent="0.3">
      <c r="A32" t="s">
        <v>36</v>
      </c>
      <c r="B32">
        <v>10</v>
      </c>
      <c r="C32" t="s">
        <v>137</v>
      </c>
      <c r="D32" t="s">
        <v>137</v>
      </c>
      <c r="E32" t="s">
        <v>137</v>
      </c>
      <c r="F32">
        <v>0.9</v>
      </c>
      <c r="G32">
        <v>0.9</v>
      </c>
      <c r="H32">
        <v>5.0000000000000001E-3</v>
      </c>
      <c r="I32">
        <v>120</v>
      </c>
      <c r="J32">
        <v>73</v>
      </c>
      <c r="K32">
        <v>14.186731999999999</v>
      </c>
      <c r="L32">
        <v>20.309449999999998</v>
      </c>
      <c r="M32">
        <v>467.11</v>
      </c>
      <c r="N32" t="s">
        <v>137</v>
      </c>
      <c r="O32" t="s">
        <v>137</v>
      </c>
      <c r="P32">
        <v>6.1799999999999997E-3</v>
      </c>
      <c r="Q32">
        <v>6.6461170000000003</v>
      </c>
      <c r="R32">
        <v>6.652298</v>
      </c>
      <c r="S32">
        <v>7.5344350000000002</v>
      </c>
      <c r="T32" t="s">
        <v>137</v>
      </c>
      <c r="U32" t="s">
        <v>137</v>
      </c>
      <c r="V32" t="s">
        <v>137</v>
      </c>
      <c r="W32" t="s">
        <v>137</v>
      </c>
      <c r="X32" t="s">
        <v>137</v>
      </c>
      <c r="Y32">
        <v>46.89</v>
      </c>
      <c r="Z32">
        <v>53.11</v>
      </c>
      <c r="AA32" t="s">
        <v>137</v>
      </c>
      <c r="AB32" t="s">
        <v>137</v>
      </c>
      <c r="AC32" t="s">
        <v>137</v>
      </c>
      <c r="AD32" t="s">
        <v>137</v>
      </c>
      <c r="AE32" t="s">
        <v>137</v>
      </c>
    </row>
    <row r="33" spans="1:31" x14ac:dyDescent="0.3">
      <c r="A33" t="s">
        <v>37</v>
      </c>
      <c r="B33">
        <v>10</v>
      </c>
      <c r="C33" t="s">
        <v>137</v>
      </c>
      <c r="D33" t="s">
        <v>137</v>
      </c>
      <c r="E33" t="s">
        <v>137</v>
      </c>
      <c r="F33">
        <v>0.9</v>
      </c>
      <c r="G33">
        <v>0.9</v>
      </c>
      <c r="H33">
        <v>5.0000000000000001E-3</v>
      </c>
      <c r="I33">
        <v>120</v>
      </c>
      <c r="J33">
        <v>69</v>
      </c>
      <c r="K33">
        <v>15.680948000000001</v>
      </c>
      <c r="L33">
        <v>24.374891999999999</v>
      </c>
      <c r="M33">
        <v>554.74</v>
      </c>
      <c r="N33" t="s">
        <v>137</v>
      </c>
      <c r="O33" t="s">
        <v>137</v>
      </c>
      <c r="P33">
        <v>6.0650000000000001E-3</v>
      </c>
      <c r="Q33">
        <v>6.5677830000000004</v>
      </c>
      <c r="R33">
        <v>6.5738479999999999</v>
      </c>
      <c r="S33">
        <v>9.1071000000000009</v>
      </c>
      <c r="T33" t="s">
        <v>137</v>
      </c>
      <c r="U33" t="s">
        <v>137</v>
      </c>
      <c r="V33" t="s">
        <v>137</v>
      </c>
      <c r="W33" t="s">
        <v>137</v>
      </c>
      <c r="X33" t="s">
        <v>137</v>
      </c>
      <c r="Y33">
        <v>41.92</v>
      </c>
      <c r="Z33">
        <v>58.08</v>
      </c>
      <c r="AA33" t="s">
        <v>137</v>
      </c>
      <c r="AB33" t="s">
        <v>137</v>
      </c>
      <c r="AC33" t="s">
        <v>137</v>
      </c>
      <c r="AD33" t="s">
        <v>137</v>
      </c>
      <c r="AE33" t="s">
        <v>137</v>
      </c>
    </row>
    <row r="34" spans="1:31" x14ac:dyDescent="0.3">
      <c r="A34" t="s">
        <v>38</v>
      </c>
      <c r="B34">
        <v>10</v>
      </c>
      <c r="C34" t="s">
        <v>137</v>
      </c>
      <c r="D34" t="s">
        <v>137</v>
      </c>
      <c r="E34" t="s">
        <v>137</v>
      </c>
      <c r="F34">
        <v>0.9</v>
      </c>
      <c r="G34">
        <v>0.9</v>
      </c>
      <c r="H34">
        <v>5.0000000000000001E-3</v>
      </c>
      <c r="I34">
        <v>120</v>
      </c>
      <c r="J34">
        <v>95</v>
      </c>
      <c r="K34">
        <v>6.1248209999999998</v>
      </c>
      <c r="L34">
        <v>13.516545000000001</v>
      </c>
      <c r="M34">
        <v>193.2</v>
      </c>
      <c r="N34" t="s">
        <v>137</v>
      </c>
      <c r="O34" t="s">
        <v>137</v>
      </c>
      <c r="P34">
        <v>6.5129999999999997E-3</v>
      </c>
      <c r="Q34">
        <v>3.1647319999999999</v>
      </c>
      <c r="R34">
        <v>3.1712449999999999</v>
      </c>
      <c r="S34">
        <v>2.953576</v>
      </c>
      <c r="T34" t="s">
        <v>137</v>
      </c>
      <c r="U34" t="s">
        <v>137</v>
      </c>
      <c r="V34" t="s">
        <v>137</v>
      </c>
      <c r="W34" t="s">
        <v>137</v>
      </c>
      <c r="X34" t="s">
        <v>137</v>
      </c>
      <c r="Y34">
        <v>51.78</v>
      </c>
      <c r="Z34">
        <v>48.22</v>
      </c>
      <c r="AA34" t="s">
        <v>137</v>
      </c>
      <c r="AB34" t="s">
        <v>137</v>
      </c>
      <c r="AC34" t="s">
        <v>137</v>
      </c>
      <c r="AD34" t="s">
        <v>137</v>
      </c>
      <c r="AE34" t="s">
        <v>137</v>
      </c>
    </row>
    <row r="35" spans="1:31" x14ac:dyDescent="0.3">
      <c r="A35" t="s">
        <v>39</v>
      </c>
      <c r="B35">
        <v>10</v>
      </c>
      <c r="C35" t="s">
        <v>137</v>
      </c>
      <c r="D35" t="s">
        <v>137</v>
      </c>
      <c r="E35" t="s">
        <v>137</v>
      </c>
      <c r="F35">
        <v>0.9</v>
      </c>
      <c r="G35">
        <v>0.9</v>
      </c>
      <c r="H35">
        <v>5.0000000000000001E-3</v>
      </c>
      <c r="I35">
        <v>120</v>
      </c>
      <c r="J35">
        <v>79</v>
      </c>
      <c r="K35">
        <v>10.436512</v>
      </c>
      <c r="L35">
        <v>13.103006000000001</v>
      </c>
      <c r="M35">
        <v>327.25</v>
      </c>
      <c r="N35" t="s">
        <v>137</v>
      </c>
      <c r="O35" t="s">
        <v>137</v>
      </c>
      <c r="P35">
        <v>6.5469999999999999E-3</v>
      </c>
      <c r="Q35">
        <v>5.8961410000000001</v>
      </c>
      <c r="R35">
        <v>5.9026880000000004</v>
      </c>
      <c r="S35">
        <v>4.5338240000000001</v>
      </c>
      <c r="T35" t="s">
        <v>137</v>
      </c>
      <c r="U35" t="s">
        <v>137</v>
      </c>
      <c r="V35" t="s">
        <v>137</v>
      </c>
      <c r="W35" t="s">
        <v>137</v>
      </c>
      <c r="X35" t="s">
        <v>137</v>
      </c>
      <c r="Y35">
        <v>56.56</v>
      </c>
      <c r="Z35">
        <v>43.44</v>
      </c>
      <c r="AA35" t="s">
        <v>137</v>
      </c>
      <c r="AB35" t="s">
        <v>137</v>
      </c>
      <c r="AC35" t="s">
        <v>137</v>
      </c>
      <c r="AD35" t="s">
        <v>137</v>
      </c>
      <c r="AE35" t="s">
        <v>137</v>
      </c>
    </row>
    <row r="36" spans="1:31" x14ac:dyDescent="0.3">
      <c r="A36" t="s">
        <v>40</v>
      </c>
      <c r="B36">
        <v>10</v>
      </c>
      <c r="C36" t="s">
        <v>137</v>
      </c>
      <c r="D36" t="s">
        <v>137</v>
      </c>
      <c r="E36" t="s">
        <v>137</v>
      </c>
      <c r="F36">
        <v>0.9</v>
      </c>
      <c r="G36">
        <v>0.9</v>
      </c>
      <c r="H36">
        <v>5.0000000000000001E-3</v>
      </c>
      <c r="I36">
        <v>120</v>
      </c>
      <c r="J36">
        <v>34</v>
      </c>
      <c r="K36">
        <v>15.881072</v>
      </c>
      <c r="L36">
        <v>20.305793000000001</v>
      </c>
      <c r="M36">
        <v>506.97</v>
      </c>
      <c r="N36" t="s">
        <v>137</v>
      </c>
      <c r="O36" t="s">
        <v>137</v>
      </c>
      <c r="P36">
        <v>7.0359999999999997E-3</v>
      </c>
      <c r="Q36">
        <v>8.3725109999999994</v>
      </c>
      <c r="R36">
        <v>8.3795470000000005</v>
      </c>
      <c r="S36">
        <v>7.5015260000000001</v>
      </c>
      <c r="T36" t="s">
        <v>137</v>
      </c>
      <c r="U36" t="s">
        <v>137</v>
      </c>
      <c r="V36" t="s">
        <v>137</v>
      </c>
      <c r="W36" t="s">
        <v>137</v>
      </c>
      <c r="X36" t="s">
        <v>137</v>
      </c>
      <c r="Y36">
        <v>52.76</v>
      </c>
      <c r="Z36">
        <v>47.24</v>
      </c>
      <c r="AA36" t="s">
        <v>137</v>
      </c>
      <c r="AB36" t="s">
        <v>137</v>
      </c>
      <c r="AC36" t="s">
        <v>137</v>
      </c>
      <c r="AD36" t="s">
        <v>137</v>
      </c>
      <c r="AE36" t="s">
        <v>137</v>
      </c>
    </row>
    <row r="37" spans="1:31" x14ac:dyDescent="0.3">
      <c r="A37" t="s">
        <v>41</v>
      </c>
      <c r="B37">
        <v>10</v>
      </c>
      <c r="C37" t="s">
        <v>137</v>
      </c>
      <c r="D37" t="s">
        <v>137</v>
      </c>
      <c r="E37" t="s">
        <v>137</v>
      </c>
      <c r="F37">
        <v>0.9</v>
      </c>
      <c r="G37">
        <v>0.9</v>
      </c>
      <c r="H37">
        <v>5.0000000000000001E-3</v>
      </c>
      <c r="I37">
        <v>120</v>
      </c>
      <c r="J37">
        <v>95</v>
      </c>
      <c r="K37">
        <v>7.2033940000000003</v>
      </c>
      <c r="L37">
        <v>15.932862999999999</v>
      </c>
      <c r="M37">
        <v>275.36</v>
      </c>
      <c r="N37" t="s">
        <v>137</v>
      </c>
      <c r="O37" t="s">
        <v>137</v>
      </c>
      <c r="P37">
        <v>5.4130000000000003E-3</v>
      </c>
      <c r="Q37">
        <v>3.5697489999999998</v>
      </c>
      <c r="R37">
        <v>3.5751620000000002</v>
      </c>
      <c r="S37">
        <v>3.6282320000000001</v>
      </c>
      <c r="T37" t="s">
        <v>137</v>
      </c>
      <c r="U37" t="s">
        <v>137</v>
      </c>
      <c r="V37" t="s">
        <v>137</v>
      </c>
      <c r="W37" t="s">
        <v>137</v>
      </c>
      <c r="X37" t="s">
        <v>137</v>
      </c>
      <c r="Y37">
        <v>49.63</v>
      </c>
      <c r="Z37">
        <v>50.37</v>
      </c>
      <c r="AA37" t="s">
        <v>137</v>
      </c>
      <c r="AB37" t="s">
        <v>137</v>
      </c>
      <c r="AC37" t="s">
        <v>137</v>
      </c>
      <c r="AD37" t="s">
        <v>137</v>
      </c>
      <c r="AE37" t="s">
        <v>137</v>
      </c>
    </row>
    <row r="38" spans="1:31" x14ac:dyDescent="0.3">
      <c r="A38" t="s">
        <v>42</v>
      </c>
      <c r="B38">
        <v>10</v>
      </c>
      <c r="C38" t="s">
        <v>137</v>
      </c>
      <c r="D38" t="s">
        <v>137</v>
      </c>
      <c r="E38" t="s">
        <v>137</v>
      </c>
      <c r="F38">
        <v>0.9</v>
      </c>
      <c r="G38">
        <v>0.9</v>
      </c>
      <c r="H38">
        <v>5.0000000000000001E-3</v>
      </c>
      <c r="I38">
        <v>120</v>
      </c>
      <c r="J38">
        <v>89</v>
      </c>
      <c r="K38">
        <v>5.7632649999999996</v>
      </c>
      <c r="L38">
        <v>9.4403260000000007</v>
      </c>
      <c r="M38">
        <v>228.81</v>
      </c>
      <c r="N38" t="s">
        <v>137</v>
      </c>
      <c r="O38" t="s">
        <v>137</v>
      </c>
      <c r="P38">
        <v>6.4209999999999996E-3</v>
      </c>
      <c r="Q38">
        <v>3.3694259999999998</v>
      </c>
      <c r="R38">
        <v>3.3758469999999998</v>
      </c>
      <c r="S38">
        <v>2.3874170000000001</v>
      </c>
      <c r="T38" t="s">
        <v>137</v>
      </c>
      <c r="U38" t="s">
        <v>137</v>
      </c>
      <c r="V38" t="s">
        <v>137</v>
      </c>
      <c r="W38" t="s">
        <v>137</v>
      </c>
      <c r="X38" t="s">
        <v>137</v>
      </c>
      <c r="Y38">
        <v>58.58</v>
      </c>
      <c r="Z38">
        <v>41.42</v>
      </c>
      <c r="AA38" t="s">
        <v>137</v>
      </c>
      <c r="AB38" t="s">
        <v>137</v>
      </c>
      <c r="AC38" t="s">
        <v>137</v>
      </c>
      <c r="AD38" t="s">
        <v>137</v>
      </c>
      <c r="AE38" t="s">
        <v>137</v>
      </c>
    </row>
    <row r="39" spans="1:31" x14ac:dyDescent="0.3">
      <c r="A39" t="s">
        <v>43</v>
      </c>
      <c r="B39">
        <v>10</v>
      </c>
      <c r="C39" t="s">
        <v>137</v>
      </c>
      <c r="D39" t="s">
        <v>137</v>
      </c>
      <c r="E39" t="s">
        <v>137</v>
      </c>
      <c r="F39">
        <v>0.9</v>
      </c>
      <c r="G39">
        <v>0.9</v>
      </c>
      <c r="H39">
        <v>5.0000000000000001E-3</v>
      </c>
      <c r="I39">
        <v>120</v>
      </c>
      <c r="J39">
        <v>94</v>
      </c>
      <c r="K39">
        <v>5.8907470000000002</v>
      </c>
      <c r="L39">
        <v>11.834349</v>
      </c>
      <c r="M39">
        <v>184.02</v>
      </c>
      <c r="N39" t="s">
        <v>137</v>
      </c>
      <c r="O39" t="s">
        <v>137</v>
      </c>
      <c r="P39">
        <v>6.535E-3</v>
      </c>
      <c r="Q39">
        <v>3.243741</v>
      </c>
      <c r="R39">
        <v>3.2502759999999999</v>
      </c>
      <c r="S39">
        <v>2.6404709999999998</v>
      </c>
      <c r="T39" t="s">
        <v>137</v>
      </c>
      <c r="U39" t="s">
        <v>137</v>
      </c>
      <c r="V39" t="s">
        <v>137</v>
      </c>
      <c r="W39" t="s">
        <v>137</v>
      </c>
      <c r="X39" t="s">
        <v>137</v>
      </c>
      <c r="Y39">
        <v>55.18</v>
      </c>
      <c r="Z39">
        <v>44.82</v>
      </c>
      <c r="AA39" t="s">
        <v>137</v>
      </c>
      <c r="AB39" t="s">
        <v>137</v>
      </c>
      <c r="AC39" t="s">
        <v>137</v>
      </c>
      <c r="AD39" t="s">
        <v>137</v>
      </c>
      <c r="AE39" t="s">
        <v>137</v>
      </c>
    </row>
    <row r="40" spans="1:31" x14ac:dyDescent="0.3">
      <c r="A40" t="s">
        <v>44</v>
      </c>
      <c r="B40">
        <v>10</v>
      </c>
      <c r="C40" t="s">
        <v>137</v>
      </c>
      <c r="D40" t="s">
        <v>137</v>
      </c>
      <c r="E40" t="s">
        <v>137</v>
      </c>
      <c r="F40">
        <v>0.9</v>
      </c>
      <c r="G40">
        <v>0.9</v>
      </c>
      <c r="H40">
        <v>5.0000000000000001E-3</v>
      </c>
      <c r="I40">
        <v>120</v>
      </c>
      <c r="J40">
        <v>71</v>
      </c>
      <c r="K40">
        <v>11.696819</v>
      </c>
      <c r="L40">
        <v>19.195988</v>
      </c>
      <c r="M40">
        <v>365.3</v>
      </c>
      <c r="N40" t="s">
        <v>137</v>
      </c>
      <c r="O40" t="s">
        <v>137</v>
      </c>
      <c r="P40">
        <v>6.45E-3</v>
      </c>
      <c r="Q40">
        <v>5.5167080000000004</v>
      </c>
      <c r="R40">
        <v>5.5231589999999997</v>
      </c>
      <c r="S40">
        <v>6.1736610000000001</v>
      </c>
      <c r="T40" t="s">
        <v>137</v>
      </c>
      <c r="U40" t="s">
        <v>137</v>
      </c>
      <c r="V40" t="s">
        <v>137</v>
      </c>
      <c r="W40" t="s">
        <v>137</v>
      </c>
      <c r="X40" t="s">
        <v>137</v>
      </c>
      <c r="Y40">
        <v>47.22</v>
      </c>
      <c r="Z40">
        <v>52.78</v>
      </c>
      <c r="AA40" t="s">
        <v>137</v>
      </c>
      <c r="AB40" t="s">
        <v>137</v>
      </c>
      <c r="AC40" t="s">
        <v>137</v>
      </c>
      <c r="AD40" t="s">
        <v>137</v>
      </c>
      <c r="AE40" t="s">
        <v>137</v>
      </c>
    </row>
    <row r="41" spans="1:31" x14ac:dyDescent="0.3">
      <c r="A41" t="s">
        <v>45</v>
      </c>
      <c r="B41">
        <v>10</v>
      </c>
      <c r="C41" t="s">
        <v>137</v>
      </c>
      <c r="D41" t="s">
        <v>137</v>
      </c>
      <c r="E41" t="s">
        <v>137</v>
      </c>
      <c r="F41">
        <v>0.9</v>
      </c>
      <c r="G41">
        <v>0.9</v>
      </c>
      <c r="H41">
        <v>5.0000000000000001E-3</v>
      </c>
      <c r="I41">
        <v>120</v>
      </c>
      <c r="J41">
        <v>73</v>
      </c>
      <c r="K41">
        <v>11.808764999999999</v>
      </c>
      <c r="L41">
        <v>19.824708999999999</v>
      </c>
      <c r="M41">
        <v>380.75</v>
      </c>
      <c r="N41" t="s">
        <v>137</v>
      </c>
      <c r="O41" t="s">
        <v>137</v>
      </c>
      <c r="P41">
        <v>6.4859999999999996E-3</v>
      </c>
      <c r="Q41">
        <v>5.4209829999999997</v>
      </c>
      <c r="R41">
        <v>5.4274690000000003</v>
      </c>
      <c r="S41">
        <v>6.3812959999999999</v>
      </c>
      <c r="T41" t="s">
        <v>137</v>
      </c>
      <c r="U41" t="s">
        <v>137</v>
      </c>
      <c r="V41" t="s">
        <v>137</v>
      </c>
      <c r="W41" t="s">
        <v>137</v>
      </c>
      <c r="X41" t="s">
        <v>137</v>
      </c>
      <c r="Y41">
        <v>45.96</v>
      </c>
      <c r="Z41">
        <v>54.04</v>
      </c>
      <c r="AA41" t="s">
        <v>137</v>
      </c>
      <c r="AB41" t="s">
        <v>137</v>
      </c>
      <c r="AC41" t="s">
        <v>137</v>
      </c>
      <c r="AD41" t="s">
        <v>137</v>
      </c>
      <c r="AE41" t="s">
        <v>137</v>
      </c>
    </row>
    <row r="42" spans="1:31" x14ac:dyDescent="0.3">
      <c r="A42" t="s">
        <v>46</v>
      </c>
      <c r="B42">
        <v>10</v>
      </c>
      <c r="C42" t="s">
        <v>137</v>
      </c>
      <c r="D42" t="s">
        <v>137</v>
      </c>
      <c r="E42" t="s">
        <v>137</v>
      </c>
      <c r="F42">
        <v>0.9</v>
      </c>
      <c r="G42">
        <v>0.9</v>
      </c>
      <c r="H42">
        <v>5.0000000000000001E-3</v>
      </c>
      <c r="I42">
        <v>120</v>
      </c>
      <c r="J42">
        <v>65</v>
      </c>
      <c r="K42">
        <v>18.090098000000001</v>
      </c>
      <c r="L42">
        <v>25.882778999999999</v>
      </c>
      <c r="M42">
        <v>605.41999999999996</v>
      </c>
      <c r="N42" t="s">
        <v>137</v>
      </c>
      <c r="O42" t="s">
        <v>137</v>
      </c>
      <c r="P42">
        <v>6.3499999999999997E-3</v>
      </c>
      <c r="Q42">
        <v>7.4025590000000001</v>
      </c>
      <c r="R42">
        <v>7.4089080000000003</v>
      </c>
      <c r="S42">
        <v>10.681190000000001</v>
      </c>
      <c r="T42" t="s">
        <v>137</v>
      </c>
      <c r="U42" t="s">
        <v>137</v>
      </c>
      <c r="V42" t="s">
        <v>137</v>
      </c>
      <c r="W42" t="s">
        <v>137</v>
      </c>
      <c r="X42" t="s">
        <v>137</v>
      </c>
      <c r="Y42">
        <v>40.96</v>
      </c>
      <c r="Z42">
        <v>59.04</v>
      </c>
      <c r="AA42" t="s">
        <v>137</v>
      </c>
      <c r="AB42" t="s">
        <v>137</v>
      </c>
      <c r="AC42" t="s">
        <v>137</v>
      </c>
      <c r="AD42" t="s">
        <v>137</v>
      </c>
      <c r="AE42" t="s">
        <v>137</v>
      </c>
    </row>
    <row r="43" spans="1:31" x14ac:dyDescent="0.3">
      <c r="A43" t="s">
        <v>47</v>
      </c>
      <c r="B43">
        <v>10</v>
      </c>
      <c r="C43" t="s">
        <v>137</v>
      </c>
      <c r="D43" t="s">
        <v>137</v>
      </c>
      <c r="E43" t="s">
        <v>137</v>
      </c>
      <c r="F43">
        <v>0.9</v>
      </c>
      <c r="G43">
        <v>0.9</v>
      </c>
      <c r="H43">
        <v>5.0000000000000001E-3</v>
      </c>
      <c r="I43">
        <v>120</v>
      </c>
      <c r="J43">
        <v>69</v>
      </c>
      <c r="K43">
        <v>15.829314999999999</v>
      </c>
      <c r="L43">
        <v>25.067218</v>
      </c>
      <c r="M43">
        <v>620.92999999999995</v>
      </c>
      <c r="N43" t="s">
        <v>137</v>
      </c>
      <c r="O43" t="s">
        <v>137</v>
      </c>
      <c r="P43">
        <v>6.0480000000000004E-3</v>
      </c>
      <c r="Q43">
        <v>6.2891940000000002</v>
      </c>
      <c r="R43">
        <v>6.295242</v>
      </c>
      <c r="S43">
        <v>9.5340740000000004</v>
      </c>
      <c r="T43" t="s">
        <v>137</v>
      </c>
      <c r="U43" t="s">
        <v>137</v>
      </c>
      <c r="V43" t="s">
        <v>137</v>
      </c>
      <c r="W43" t="s">
        <v>137</v>
      </c>
      <c r="X43" t="s">
        <v>137</v>
      </c>
      <c r="Y43">
        <v>39.770000000000003</v>
      </c>
      <c r="Z43">
        <v>60.23</v>
      </c>
      <c r="AA43" t="s">
        <v>137</v>
      </c>
      <c r="AB43" t="s">
        <v>137</v>
      </c>
      <c r="AC43" t="s">
        <v>137</v>
      </c>
      <c r="AD43" t="s">
        <v>137</v>
      </c>
      <c r="AE43" t="s">
        <v>137</v>
      </c>
    </row>
    <row r="44" spans="1:31" x14ac:dyDescent="0.3">
      <c r="A44" t="s">
        <v>48</v>
      </c>
      <c r="B44">
        <v>10</v>
      </c>
      <c r="C44" t="s">
        <v>137</v>
      </c>
      <c r="D44" t="s">
        <v>137</v>
      </c>
      <c r="E44" t="s">
        <v>137</v>
      </c>
      <c r="F44">
        <v>0.9</v>
      </c>
      <c r="G44">
        <v>0.9</v>
      </c>
      <c r="H44">
        <v>5.0000000000000001E-3</v>
      </c>
      <c r="I44">
        <v>120</v>
      </c>
      <c r="J44">
        <v>86</v>
      </c>
      <c r="K44">
        <v>10.367687999999999</v>
      </c>
      <c r="L44">
        <v>18.868814</v>
      </c>
      <c r="M44">
        <v>380.02</v>
      </c>
      <c r="N44" t="s">
        <v>137</v>
      </c>
      <c r="O44" t="s">
        <v>137</v>
      </c>
      <c r="P44">
        <v>5.9560000000000004E-3</v>
      </c>
      <c r="Q44">
        <v>4.6545750000000004</v>
      </c>
      <c r="R44">
        <v>4.6605309999999998</v>
      </c>
      <c r="S44">
        <v>5.7071569999999996</v>
      </c>
      <c r="T44" t="s">
        <v>137</v>
      </c>
      <c r="U44" t="s">
        <v>137</v>
      </c>
      <c r="V44" t="s">
        <v>137</v>
      </c>
      <c r="W44" t="s">
        <v>137</v>
      </c>
      <c r="X44" t="s">
        <v>137</v>
      </c>
      <c r="Y44">
        <v>44.95</v>
      </c>
      <c r="Z44">
        <v>55.05</v>
      </c>
      <c r="AA44" t="s">
        <v>137</v>
      </c>
      <c r="AB44" t="s">
        <v>137</v>
      </c>
      <c r="AC44" t="s">
        <v>137</v>
      </c>
      <c r="AD44" t="s">
        <v>137</v>
      </c>
      <c r="AE44" t="s">
        <v>137</v>
      </c>
    </row>
    <row r="45" spans="1:31" x14ac:dyDescent="0.3">
      <c r="A45" t="s">
        <v>49</v>
      </c>
      <c r="B45">
        <v>10</v>
      </c>
      <c r="C45" t="s">
        <v>137</v>
      </c>
      <c r="D45" t="s">
        <v>137</v>
      </c>
      <c r="E45" t="s">
        <v>137</v>
      </c>
      <c r="F45">
        <v>0.9</v>
      </c>
      <c r="G45">
        <v>0.9</v>
      </c>
      <c r="H45">
        <v>5.0000000000000001E-3</v>
      </c>
      <c r="I45">
        <v>120</v>
      </c>
      <c r="J45">
        <v>71</v>
      </c>
      <c r="K45">
        <v>14.926876999999999</v>
      </c>
      <c r="L45">
        <v>21.443124000000001</v>
      </c>
      <c r="M45">
        <v>515.99</v>
      </c>
      <c r="N45" t="s">
        <v>137</v>
      </c>
      <c r="O45" t="s">
        <v>137</v>
      </c>
      <c r="P45">
        <v>6.0920000000000002E-3</v>
      </c>
      <c r="Q45">
        <v>6.5965249999999997</v>
      </c>
      <c r="R45">
        <v>6.6026170000000004</v>
      </c>
      <c r="S45">
        <v>8.3242600000000007</v>
      </c>
      <c r="T45" t="s">
        <v>137</v>
      </c>
      <c r="U45" t="s">
        <v>137</v>
      </c>
      <c r="V45" t="s">
        <v>137</v>
      </c>
      <c r="W45" t="s">
        <v>137</v>
      </c>
      <c r="X45" t="s">
        <v>137</v>
      </c>
      <c r="Y45">
        <v>44.23</v>
      </c>
      <c r="Z45">
        <v>55.77</v>
      </c>
      <c r="AA45" t="s">
        <v>137</v>
      </c>
      <c r="AB45" t="s">
        <v>137</v>
      </c>
      <c r="AC45" t="s">
        <v>137</v>
      </c>
      <c r="AD45" t="s">
        <v>137</v>
      </c>
      <c r="AE45" t="s">
        <v>137</v>
      </c>
    </row>
    <row r="46" spans="1:31" x14ac:dyDescent="0.3">
      <c r="A46" t="s">
        <v>50</v>
      </c>
      <c r="B46">
        <v>10</v>
      </c>
      <c r="C46" t="s">
        <v>137</v>
      </c>
      <c r="D46" t="s">
        <v>137</v>
      </c>
      <c r="E46" t="s">
        <v>137</v>
      </c>
      <c r="F46">
        <v>0.9</v>
      </c>
      <c r="G46">
        <v>0.9</v>
      </c>
      <c r="H46">
        <v>5.0000000000000001E-3</v>
      </c>
      <c r="I46">
        <v>120</v>
      </c>
      <c r="J46">
        <v>82</v>
      </c>
      <c r="K46">
        <v>6.4067689999999997</v>
      </c>
      <c r="L46">
        <v>9.9276710000000001</v>
      </c>
      <c r="M46">
        <v>258.83999999999997</v>
      </c>
      <c r="N46" t="s">
        <v>137</v>
      </c>
      <c r="O46" t="s">
        <v>137</v>
      </c>
      <c r="P46">
        <v>5.9880000000000003E-3</v>
      </c>
      <c r="Q46">
        <v>3.7042609999999998</v>
      </c>
      <c r="R46">
        <v>3.7102499999999998</v>
      </c>
      <c r="S46">
        <v>2.6965189999999999</v>
      </c>
      <c r="T46" t="s">
        <v>137</v>
      </c>
      <c r="U46" t="s">
        <v>137</v>
      </c>
      <c r="V46" t="s">
        <v>137</v>
      </c>
      <c r="W46" t="s">
        <v>137</v>
      </c>
      <c r="X46" t="s">
        <v>137</v>
      </c>
      <c r="Y46">
        <v>57.91</v>
      </c>
      <c r="Z46">
        <v>42.09</v>
      </c>
      <c r="AA46" t="s">
        <v>137</v>
      </c>
      <c r="AB46" t="s">
        <v>137</v>
      </c>
      <c r="AC46" t="s">
        <v>137</v>
      </c>
      <c r="AD46" t="s">
        <v>137</v>
      </c>
      <c r="AE46" t="s">
        <v>137</v>
      </c>
    </row>
    <row r="47" spans="1:31" x14ac:dyDescent="0.3">
      <c r="A47" t="s">
        <v>51</v>
      </c>
      <c r="B47">
        <v>10</v>
      </c>
      <c r="C47" t="s">
        <v>137</v>
      </c>
      <c r="D47" t="s">
        <v>137</v>
      </c>
      <c r="E47" t="s">
        <v>137</v>
      </c>
      <c r="F47">
        <v>0.9</v>
      </c>
      <c r="G47">
        <v>0.9</v>
      </c>
      <c r="H47">
        <v>5.0000000000000001E-3</v>
      </c>
      <c r="I47">
        <v>120</v>
      </c>
      <c r="J47">
        <v>29</v>
      </c>
      <c r="K47">
        <v>18.844351</v>
      </c>
      <c r="L47">
        <v>22.202805999999999</v>
      </c>
      <c r="M47">
        <v>613.9</v>
      </c>
      <c r="N47" t="s">
        <v>137</v>
      </c>
      <c r="O47" t="s">
        <v>137</v>
      </c>
      <c r="P47">
        <v>6.4440000000000001E-3</v>
      </c>
      <c r="Q47">
        <v>8.0789930000000005</v>
      </c>
      <c r="R47">
        <v>8.0854370000000007</v>
      </c>
      <c r="S47">
        <v>10.758914000000001</v>
      </c>
      <c r="T47" t="s">
        <v>137</v>
      </c>
      <c r="U47" t="s">
        <v>137</v>
      </c>
      <c r="V47" t="s">
        <v>137</v>
      </c>
      <c r="W47" t="s">
        <v>137</v>
      </c>
      <c r="X47" t="s">
        <v>137</v>
      </c>
      <c r="Y47">
        <v>42.91</v>
      </c>
      <c r="Z47">
        <v>57.09</v>
      </c>
      <c r="AA47" t="s">
        <v>137</v>
      </c>
      <c r="AB47" t="s">
        <v>137</v>
      </c>
      <c r="AC47" t="s">
        <v>137</v>
      </c>
      <c r="AD47" t="s">
        <v>137</v>
      </c>
      <c r="AE47" t="s">
        <v>137</v>
      </c>
    </row>
    <row r="48" spans="1:31" x14ac:dyDescent="0.3">
      <c r="A48" t="s">
        <v>52</v>
      </c>
      <c r="B48">
        <v>10</v>
      </c>
      <c r="C48" t="s">
        <v>137</v>
      </c>
      <c r="D48" t="s">
        <v>137</v>
      </c>
      <c r="E48" t="s">
        <v>137</v>
      </c>
      <c r="F48">
        <v>0.9</v>
      </c>
      <c r="G48">
        <v>0.9</v>
      </c>
      <c r="H48">
        <v>5.0000000000000001E-3</v>
      </c>
      <c r="I48">
        <v>120</v>
      </c>
      <c r="J48">
        <v>84</v>
      </c>
      <c r="K48">
        <v>7.4034190000000004</v>
      </c>
      <c r="L48">
        <v>12.248431</v>
      </c>
      <c r="M48">
        <v>251.55</v>
      </c>
      <c r="N48" t="s">
        <v>137</v>
      </c>
      <c r="O48" t="s">
        <v>137</v>
      </c>
      <c r="P48">
        <v>5.9760000000000004E-3</v>
      </c>
      <c r="Q48">
        <v>4.2735519999999996</v>
      </c>
      <c r="R48">
        <v>4.279528</v>
      </c>
      <c r="S48">
        <v>3.1238899999999998</v>
      </c>
      <c r="T48" t="s">
        <v>137</v>
      </c>
      <c r="U48" t="s">
        <v>137</v>
      </c>
      <c r="V48" t="s">
        <v>137</v>
      </c>
      <c r="W48" t="s">
        <v>137</v>
      </c>
      <c r="X48" t="s">
        <v>137</v>
      </c>
      <c r="Y48">
        <v>57.8</v>
      </c>
      <c r="Z48">
        <v>42.2</v>
      </c>
      <c r="AA48" t="s">
        <v>137</v>
      </c>
      <c r="AB48" t="s">
        <v>137</v>
      </c>
      <c r="AC48" t="s">
        <v>137</v>
      </c>
      <c r="AD48" t="s">
        <v>137</v>
      </c>
      <c r="AE48" t="s">
        <v>137</v>
      </c>
    </row>
    <row r="49" spans="1:31" x14ac:dyDescent="0.3">
      <c r="A49" t="s">
        <v>53</v>
      </c>
      <c r="B49">
        <v>10</v>
      </c>
      <c r="C49" t="s">
        <v>137</v>
      </c>
      <c r="D49" t="s">
        <v>137</v>
      </c>
      <c r="E49" t="s">
        <v>137</v>
      </c>
      <c r="F49">
        <v>0.9</v>
      </c>
      <c r="G49">
        <v>0.9</v>
      </c>
      <c r="H49">
        <v>5.0000000000000001E-3</v>
      </c>
      <c r="I49">
        <v>120</v>
      </c>
      <c r="J49">
        <v>76</v>
      </c>
      <c r="K49">
        <v>7.7510490000000001</v>
      </c>
      <c r="L49">
        <v>15.031805</v>
      </c>
      <c r="M49">
        <v>240.43</v>
      </c>
      <c r="N49" t="s">
        <v>137</v>
      </c>
      <c r="O49" t="s">
        <v>137</v>
      </c>
      <c r="P49">
        <v>6.6119999999999998E-3</v>
      </c>
      <c r="Q49">
        <v>3.8510840000000002</v>
      </c>
      <c r="R49">
        <v>3.8576959999999998</v>
      </c>
      <c r="S49">
        <v>3.8933529999999998</v>
      </c>
      <c r="T49" t="s">
        <v>137</v>
      </c>
      <c r="U49" t="s">
        <v>137</v>
      </c>
      <c r="V49" t="s">
        <v>137</v>
      </c>
      <c r="W49" t="s">
        <v>137</v>
      </c>
      <c r="X49" t="s">
        <v>137</v>
      </c>
      <c r="Y49">
        <v>49.77</v>
      </c>
      <c r="Z49">
        <v>50.23</v>
      </c>
      <c r="AA49" t="s">
        <v>137</v>
      </c>
      <c r="AB49" t="s">
        <v>137</v>
      </c>
      <c r="AC49" t="s">
        <v>137</v>
      </c>
      <c r="AD49" t="s">
        <v>137</v>
      </c>
      <c r="AE49" t="s">
        <v>137</v>
      </c>
    </row>
    <row r="50" spans="1:31" x14ac:dyDescent="0.3">
      <c r="A50" t="s">
        <v>54</v>
      </c>
      <c r="B50">
        <v>10</v>
      </c>
      <c r="C50" t="s">
        <v>137</v>
      </c>
      <c r="D50" t="s">
        <v>137</v>
      </c>
      <c r="E50" t="s">
        <v>137</v>
      </c>
      <c r="F50">
        <v>0.9</v>
      </c>
      <c r="G50">
        <v>0.9</v>
      </c>
      <c r="H50">
        <v>5.0000000000000001E-3</v>
      </c>
      <c r="I50">
        <v>120</v>
      </c>
      <c r="J50">
        <v>86</v>
      </c>
      <c r="K50">
        <v>10.666027</v>
      </c>
      <c r="L50">
        <v>17.229358000000001</v>
      </c>
      <c r="M50">
        <v>391.24</v>
      </c>
      <c r="N50" t="s">
        <v>137</v>
      </c>
      <c r="O50" t="s">
        <v>137</v>
      </c>
      <c r="P50">
        <v>6.0150000000000004E-3</v>
      </c>
      <c r="Q50">
        <v>4.9591570000000003</v>
      </c>
      <c r="R50">
        <v>4.9651719999999999</v>
      </c>
      <c r="S50">
        <v>5.7008539999999996</v>
      </c>
      <c r="T50" t="s">
        <v>137</v>
      </c>
      <c r="U50" t="s">
        <v>137</v>
      </c>
      <c r="V50" t="s">
        <v>137</v>
      </c>
      <c r="W50" t="s">
        <v>137</v>
      </c>
      <c r="X50" t="s">
        <v>137</v>
      </c>
      <c r="Y50">
        <v>46.55</v>
      </c>
      <c r="Z50">
        <v>53.45</v>
      </c>
      <c r="AA50" t="s">
        <v>137</v>
      </c>
      <c r="AB50" t="s">
        <v>137</v>
      </c>
      <c r="AC50" t="s">
        <v>137</v>
      </c>
      <c r="AD50" t="s">
        <v>137</v>
      </c>
      <c r="AE50" t="s">
        <v>137</v>
      </c>
    </row>
    <row r="51" spans="1:31" x14ac:dyDescent="0.3">
      <c r="A51" t="s">
        <v>55</v>
      </c>
      <c r="B51">
        <v>10</v>
      </c>
      <c r="C51" t="s">
        <v>137</v>
      </c>
      <c r="D51" t="s">
        <v>137</v>
      </c>
      <c r="E51" t="s">
        <v>137</v>
      </c>
      <c r="F51">
        <v>0.9</v>
      </c>
      <c r="G51">
        <v>0.9</v>
      </c>
      <c r="H51">
        <v>5.0000000000000001E-3</v>
      </c>
      <c r="I51">
        <v>120</v>
      </c>
      <c r="J51">
        <v>65</v>
      </c>
      <c r="K51">
        <v>11.779161</v>
      </c>
      <c r="L51">
        <v>19.135251</v>
      </c>
      <c r="M51">
        <v>454.4</v>
      </c>
      <c r="N51" t="s">
        <v>137</v>
      </c>
      <c r="O51" t="s">
        <v>137</v>
      </c>
      <c r="P51">
        <v>5.7429999999999998E-3</v>
      </c>
      <c r="Q51">
        <v>5.2243899999999996</v>
      </c>
      <c r="R51">
        <v>5.2301330000000004</v>
      </c>
      <c r="S51">
        <v>6.5490279999999998</v>
      </c>
      <c r="T51" t="s">
        <v>137</v>
      </c>
      <c r="U51" t="s">
        <v>137</v>
      </c>
      <c r="V51" t="s">
        <v>137</v>
      </c>
      <c r="W51" t="s">
        <v>137</v>
      </c>
      <c r="X51" t="s">
        <v>137</v>
      </c>
      <c r="Y51">
        <v>44.4</v>
      </c>
      <c r="Z51">
        <v>55.6</v>
      </c>
      <c r="AA51" t="s">
        <v>137</v>
      </c>
      <c r="AB51" t="s">
        <v>137</v>
      </c>
      <c r="AC51" t="s">
        <v>137</v>
      </c>
      <c r="AD51" t="s">
        <v>137</v>
      </c>
      <c r="AE51" t="s">
        <v>137</v>
      </c>
    </row>
    <row r="52" spans="1:31" x14ac:dyDescent="0.3">
      <c r="A52" t="s">
        <v>56</v>
      </c>
      <c r="B52">
        <v>10</v>
      </c>
      <c r="C52" t="s">
        <v>137</v>
      </c>
      <c r="D52" t="s">
        <v>137</v>
      </c>
      <c r="E52" t="s">
        <v>137</v>
      </c>
      <c r="F52">
        <v>0.9</v>
      </c>
      <c r="G52">
        <v>0.9</v>
      </c>
      <c r="H52">
        <v>5.0000000000000001E-3</v>
      </c>
      <c r="I52">
        <v>120</v>
      </c>
      <c r="J52">
        <v>79</v>
      </c>
      <c r="K52">
        <v>11.443623000000001</v>
      </c>
      <c r="L52">
        <v>16.505122</v>
      </c>
      <c r="M52">
        <v>363.01</v>
      </c>
      <c r="N52" t="s">
        <v>137</v>
      </c>
      <c r="O52" t="s">
        <v>137</v>
      </c>
      <c r="P52">
        <v>6.1450000000000003E-3</v>
      </c>
      <c r="Q52">
        <v>5.8227029999999997</v>
      </c>
      <c r="R52">
        <v>5.8288479999999998</v>
      </c>
      <c r="S52">
        <v>5.6147749999999998</v>
      </c>
      <c r="T52" t="s">
        <v>137</v>
      </c>
      <c r="U52" t="s">
        <v>137</v>
      </c>
      <c r="V52" t="s">
        <v>137</v>
      </c>
      <c r="W52" t="s">
        <v>137</v>
      </c>
      <c r="X52" t="s">
        <v>137</v>
      </c>
      <c r="Y52">
        <v>50.94</v>
      </c>
      <c r="Z52">
        <v>49.06</v>
      </c>
      <c r="AA52" t="s">
        <v>137</v>
      </c>
      <c r="AB52" t="s">
        <v>137</v>
      </c>
      <c r="AC52" t="s">
        <v>137</v>
      </c>
      <c r="AD52" t="s">
        <v>137</v>
      </c>
      <c r="AE52" t="s">
        <v>137</v>
      </c>
    </row>
    <row r="53" spans="1:31" x14ac:dyDescent="0.3">
      <c r="A53" t="s">
        <v>57</v>
      </c>
      <c r="B53">
        <v>10</v>
      </c>
      <c r="C53" t="s">
        <v>137</v>
      </c>
      <c r="D53" t="s">
        <v>137</v>
      </c>
      <c r="E53" t="s">
        <v>137</v>
      </c>
      <c r="F53">
        <v>0.9</v>
      </c>
      <c r="G53">
        <v>0.9</v>
      </c>
      <c r="H53">
        <v>5.0000000000000001E-3</v>
      </c>
      <c r="I53">
        <v>120</v>
      </c>
      <c r="J53">
        <v>92</v>
      </c>
      <c r="K53">
        <v>8.2383109999999995</v>
      </c>
      <c r="L53">
        <v>16.677617000000001</v>
      </c>
      <c r="M53">
        <v>293.42</v>
      </c>
      <c r="N53" t="s">
        <v>137</v>
      </c>
      <c r="O53" t="s">
        <v>137</v>
      </c>
      <c r="P53">
        <v>5.803E-3</v>
      </c>
      <c r="Q53">
        <v>3.9154640000000001</v>
      </c>
      <c r="R53">
        <v>3.9212669999999998</v>
      </c>
      <c r="S53">
        <v>4.3170440000000001</v>
      </c>
      <c r="T53" t="s">
        <v>137</v>
      </c>
      <c r="U53" t="s">
        <v>137</v>
      </c>
      <c r="V53" t="s">
        <v>137</v>
      </c>
      <c r="W53" t="s">
        <v>137</v>
      </c>
      <c r="X53" t="s">
        <v>137</v>
      </c>
      <c r="Y53">
        <v>47.6</v>
      </c>
      <c r="Z53">
        <v>52.4</v>
      </c>
      <c r="AA53" t="s">
        <v>137</v>
      </c>
      <c r="AB53" t="s">
        <v>137</v>
      </c>
      <c r="AC53" t="s">
        <v>137</v>
      </c>
      <c r="AD53" t="s">
        <v>137</v>
      </c>
      <c r="AE53" t="s">
        <v>137</v>
      </c>
    </row>
    <row r="54" spans="1:31" x14ac:dyDescent="0.3">
      <c r="A54" t="s">
        <v>58</v>
      </c>
      <c r="B54">
        <v>10</v>
      </c>
      <c r="C54" t="s">
        <v>137</v>
      </c>
      <c r="D54" t="s">
        <v>137</v>
      </c>
      <c r="E54" t="s">
        <v>137</v>
      </c>
      <c r="F54">
        <v>0.9</v>
      </c>
      <c r="G54">
        <v>0.9</v>
      </c>
      <c r="H54">
        <v>5.0000000000000001E-3</v>
      </c>
      <c r="I54">
        <v>120</v>
      </c>
      <c r="J54">
        <v>59</v>
      </c>
      <c r="K54">
        <v>15.766793</v>
      </c>
      <c r="L54">
        <v>21.789643999999999</v>
      </c>
      <c r="M54">
        <v>545.64</v>
      </c>
      <c r="N54" t="s">
        <v>137</v>
      </c>
      <c r="O54" t="s">
        <v>137</v>
      </c>
      <c r="P54">
        <v>6.0210000000000003E-3</v>
      </c>
      <c r="Q54">
        <v>7.0435670000000004</v>
      </c>
      <c r="R54">
        <v>7.049588</v>
      </c>
      <c r="S54">
        <v>8.7172049999999999</v>
      </c>
      <c r="T54" t="s">
        <v>137</v>
      </c>
      <c r="U54" t="s">
        <v>137</v>
      </c>
      <c r="V54" t="s">
        <v>137</v>
      </c>
      <c r="W54" t="s">
        <v>137</v>
      </c>
      <c r="X54" t="s">
        <v>137</v>
      </c>
      <c r="Y54">
        <v>44.71</v>
      </c>
      <c r="Z54">
        <v>55.29</v>
      </c>
      <c r="AA54" t="s">
        <v>137</v>
      </c>
      <c r="AB54" t="s">
        <v>137</v>
      </c>
      <c r="AC54" t="s">
        <v>137</v>
      </c>
      <c r="AD54" t="s">
        <v>137</v>
      </c>
      <c r="AE54" t="s">
        <v>137</v>
      </c>
    </row>
    <row r="55" spans="1:31" x14ac:dyDescent="0.3">
      <c r="A55" t="s">
        <v>59</v>
      </c>
      <c r="B55">
        <v>10</v>
      </c>
      <c r="C55" t="s">
        <v>137</v>
      </c>
      <c r="D55" t="s">
        <v>137</v>
      </c>
      <c r="E55" t="s">
        <v>137</v>
      </c>
      <c r="F55">
        <v>0.9</v>
      </c>
      <c r="G55">
        <v>0.9</v>
      </c>
      <c r="H55">
        <v>5.0000000000000001E-3</v>
      </c>
      <c r="I55">
        <v>120</v>
      </c>
      <c r="J55">
        <v>93</v>
      </c>
      <c r="K55">
        <v>6.2600509999999998</v>
      </c>
      <c r="L55">
        <v>13.043037999999999</v>
      </c>
      <c r="M55">
        <v>194.28</v>
      </c>
      <c r="N55" t="s">
        <v>137</v>
      </c>
      <c r="O55" t="s">
        <v>137</v>
      </c>
      <c r="P55">
        <v>6.6689999999999996E-3</v>
      </c>
      <c r="Q55">
        <v>3.3830200000000001</v>
      </c>
      <c r="R55">
        <v>3.3896890000000002</v>
      </c>
      <c r="S55">
        <v>2.8703620000000001</v>
      </c>
      <c r="T55" t="s">
        <v>137</v>
      </c>
      <c r="U55" t="s">
        <v>137</v>
      </c>
      <c r="V55" t="s">
        <v>137</v>
      </c>
      <c r="W55" t="s">
        <v>137</v>
      </c>
      <c r="X55" t="s">
        <v>137</v>
      </c>
      <c r="Y55">
        <v>54.15</v>
      </c>
      <c r="Z55">
        <v>45.85</v>
      </c>
      <c r="AA55" t="s">
        <v>137</v>
      </c>
      <c r="AB55" t="s">
        <v>137</v>
      </c>
      <c r="AC55" t="s">
        <v>137</v>
      </c>
      <c r="AD55" t="s">
        <v>137</v>
      </c>
      <c r="AE55" t="s">
        <v>137</v>
      </c>
    </row>
    <row r="56" spans="1:31" x14ac:dyDescent="0.3">
      <c r="A56" t="s">
        <v>60</v>
      </c>
      <c r="B56">
        <v>10</v>
      </c>
      <c r="C56" t="s">
        <v>137</v>
      </c>
      <c r="D56" t="s">
        <v>137</v>
      </c>
      <c r="E56" t="s">
        <v>137</v>
      </c>
      <c r="F56">
        <v>0.9</v>
      </c>
      <c r="G56">
        <v>0.9</v>
      </c>
      <c r="H56">
        <v>5.0000000000000001E-3</v>
      </c>
      <c r="I56">
        <v>120</v>
      </c>
      <c r="J56">
        <v>86</v>
      </c>
      <c r="K56">
        <v>8.9929609999999993</v>
      </c>
      <c r="L56">
        <v>16.856400000000001</v>
      </c>
      <c r="M56">
        <v>279.19</v>
      </c>
      <c r="N56" t="s">
        <v>137</v>
      </c>
      <c r="O56" t="s">
        <v>137</v>
      </c>
      <c r="P56">
        <v>6.2620000000000002E-3</v>
      </c>
      <c r="Q56">
        <v>4.2673759999999996</v>
      </c>
      <c r="R56">
        <v>4.273638</v>
      </c>
      <c r="S56">
        <v>4.719322</v>
      </c>
      <c r="T56" t="s">
        <v>137</v>
      </c>
      <c r="U56" t="s">
        <v>137</v>
      </c>
      <c r="V56" t="s">
        <v>137</v>
      </c>
      <c r="W56" t="s">
        <v>137</v>
      </c>
      <c r="X56" t="s">
        <v>137</v>
      </c>
      <c r="Y56">
        <v>47.52</v>
      </c>
      <c r="Z56">
        <v>52.48</v>
      </c>
      <c r="AA56" t="s">
        <v>137</v>
      </c>
      <c r="AB56" t="s">
        <v>137</v>
      </c>
      <c r="AC56" t="s">
        <v>137</v>
      </c>
      <c r="AD56" t="s">
        <v>137</v>
      </c>
      <c r="AE56" t="s">
        <v>137</v>
      </c>
    </row>
    <row r="57" spans="1:31" x14ac:dyDescent="0.3">
      <c r="A57" t="s">
        <v>61</v>
      </c>
      <c r="B57">
        <v>10</v>
      </c>
      <c r="C57" t="s">
        <v>137</v>
      </c>
      <c r="D57" t="s">
        <v>137</v>
      </c>
      <c r="E57" t="s">
        <v>137</v>
      </c>
      <c r="F57">
        <v>0.9</v>
      </c>
      <c r="G57">
        <v>0.9</v>
      </c>
      <c r="H57">
        <v>5.0000000000000001E-3</v>
      </c>
      <c r="I57">
        <v>120</v>
      </c>
      <c r="J57">
        <v>94</v>
      </c>
      <c r="K57">
        <v>5.9236230000000001</v>
      </c>
      <c r="L57">
        <v>10.634715999999999</v>
      </c>
      <c r="M57">
        <v>201.67</v>
      </c>
      <c r="N57" t="s">
        <v>137</v>
      </c>
      <c r="O57" t="s">
        <v>137</v>
      </c>
      <c r="P57">
        <v>6.3790000000000001E-3</v>
      </c>
      <c r="Q57">
        <v>3.4032550000000001</v>
      </c>
      <c r="R57">
        <v>3.4096340000000001</v>
      </c>
      <c r="S57">
        <v>2.513989</v>
      </c>
      <c r="T57" t="s">
        <v>137</v>
      </c>
      <c r="U57" t="s">
        <v>137</v>
      </c>
      <c r="V57" t="s">
        <v>137</v>
      </c>
      <c r="W57" t="s">
        <v>137</v>
      </c>
      <c r="X57" t="s">
        <v>137</v>
      </c>
      <c r="Y57">
        <v>57.56</v>
      </c>
      <c r="Z57">
        <v>42.44</v>
      </c>
      <c r="AA57" t="s">
        <v>137</v>
      </c>
      <c r="AB57" t="s">
        <v>137</v>
      </c>
      <c r="AC57" t="s">
        <v>137</v>
      </c>
      <c r="AD57" t="s">
        <v>137</v>
      </c>
      <c r="AE57" t="s">
        <v>137</v>
      </c>
    </row>
    <row r="58" spans="1:31" x14ac:dyDescent="0.3">
      <c r="A58" t="s">
        <v>62</v>
      </c>
      <c r="B58">
        <v>10</v>
      </c>
      <c r="C58" t="s">
        <v>137</v>
      </c>
      <c r="D58" t="s">
        <v>137</v>
      </c>
      <c r="E58" t="s">
        <v>137</v>
      </c>
      <c r="F58">
        <v>0.9</v>
      </c>
      <c r="G58">
        <v>0.9</v>
      </c>
      <c r="H58">
        <v>5.0000000000000001E-3</v>
      </c>
      <c r="I58">
        <v>120</v>
      </c>
      <c r="J58">
        <v>47</v>
      </c>
      <c r="K58">
        <v>29.429897</v>
      </c>
      <c r="L58">
        <v>31.314277000000001</v>
      </c>
      <c r="M58">
        <v>929.81</v>
      </c>
      <c r="N58" t="s">
        <v>137</v>
      </c>
      <c r="O58" t="s">
        <v>137</v>
      </c>
      <c r="P58">
        <v>6.4359999999999999E-3</v>
      </c>
      <c r="Q58">
        <v>9.9951659999999993</v>
      </c>
      <c r="R58">
        <v>10.001602</v>
      </c>
      <c r="S58">
        <v>19.428296</v>
      </c>
      <c r="T58" t="s">
        <v>137</v>
      </c>
      <c r="U58" t="s">
        <v>137</v>
      </c>
      <c r="V58" t="s">
        <v>137</v>
      </c>
      <c r="W58" t="s">
        <v>137</v>
      </c>
      <c r="X58" t="s">
        <v>137</v>
      </c>
      <c r="Y58">
        <v>33.979999999999997</v>
      </c>
      <c r="Z58">
        <v>66.02</v>
      </c>
      <c r="AA58" t="s">
        <v>137</v>
      </c>
      <c r="AB58" t="s">
        <v>137</v>
      </c>
      <c r="AC58" t="s">
        <v>137</v>
      </c>
      <c r="AD58" t="s">
        <v>137</v>
      </c>
      <c r="AE58" t="s">
        <v>137</v>
      </c>
    </row>
    <row r="59" spans="1:31" x14ac:dyDescent="0.3">
      <c r="A59" t="s">
        <v>63</v>
      </c>
      <c r="B59">
        <v>10</v>
      </c>
      <c r="C59" t="s">
        <v>137</v>
      </c>
      <c r="D59" t="s">
        <v>137</v>
      </c>
      <c r="E59" t="s">
        <v>137</v>
      </c>
      <c r="F59">
        <v>0.9</v>
      </c>
      <c r="G59">
        <v>0.9</v>
      </c>
      <c r="H59">
        <v>5.0000000000000001E-3</v>
      </c>
      <c r="I59">
        <v>120</v>
      </c>
      <c r="J59">
        <v>77</v>
      </c>
      <c r="K59">
        <v>4.5932870000000001</v>
      </c>
      <c r="L59">
        <v>7.3636249999999999</v>
      </c>
      <c r="M59">
        <v>146.22999999999999</v>
      </c>
      <c r="N59" t="s">
        <v>137</v>
      </c>
      <c r="O59" t="s">
        <v>137</v>
      </c>
      <c r="P59">
        <v>6.4089999999999998E-3</v>
      </c>
      <c r="Q59">
        <v>2.9659059999999999</v>
      </c>
      <c r="R59">
        <v>2.972315</v>
      </c>
      <c r="S59">
        <v>1.6209720000000001</v>
      </c>
      <c r="T59" t="s">
        <v>137</v>
      </c>
      <c r="U59" t="s">
        <v>137</v>
      </c>
      <c r="V59" t="s">
        <v>137</v>
      </c>
      <c r="W59" t="s">
        <v>137</v>
      </c>
      <c r="X59" t="s">
        <v>137</v>
      </c>
      <c r="Y59">
        <v>64.709999999999994</v>
      </c>
      <c r="Z59">
        <v>35.29</v>
      </c>
      <c r="AA59" t="s">
        <v>137</v>
      </c>
      <c r="AB59" t="s">
        <v>137</v>
      </c>
      <c r="AC59" t="s">
        <v>137</v>
      </c>
      <c r="AD59" t="s">
        <v>137</v>
      </c>
      <c r="AE59" t="s">
        <v>137</v>
      </c>
    </row>
    <row r="60" spans="1:31" x14ac:dyDescent="0.3">
      <c r="A60" t="s">
        <v>64</v>
      </c>
      <c r="B60">
        <v>10</v>
      </c>
      <c r="C60" t="s">
        <v>137</v>
      </c>
      <c r="D60" t="s">
        <v>137</v>
      </c>
      <c r="E60" t="s">
        <v>137</v>
      </c>
      <c r="F60">
        <v>0.9</v>
      </c>
      <c r="G60">
        <v>0.9</v>
      </c>
      <c r="H60">
        <v>5.0000000000000001E-3</v>
      </c>
      <c r="I60">
        <v>120</v>
      </c>
      <c r="J60">
        <v>60</v>
      </c>
      <c r="K60">
        <v>17.974872999999999</v>
      </c>
      <c r="L60">
        <v>25.035658999999999</v>
      </c>
      <c r="M60">
        <v>635.91999999999996</v>
      </c>
      <c r="N60" t="s">
        <v>137</v>
      </c>
      <c r="O60" t="s">
        <v>137</v>
      </c>
      <c r="P60">
        <v>6.5799999999999999E-3</v>
      </c>
      <c r="Q60">
        <v>7.8044019999999996</v>
      </c>
      <c r="R60">
        <v>7.8109820000000001</v>
      </c>
      <c r="S60">
        <v>10.163891</v>
      </c>
      <c r="T60" t="s">
        <v>137</v>
      </c>
      <c r="U60" t="s">
        <v>137</v>
      </c>
      <c r="V60" t="s">
        <v>137</v>
      </c>
      <c r="W60" t="s">
        <v>137</v>
      </c>
      <c r="X60" t="s">
        <v>137</v>
      </c>
      <c r="Y60">
        <v>43.46</v>
      </c>
      <c r="Z60">
        <v>56.54</v>
      </c>
      <c r="AA60" t="s">
        <v>137</v>
      </c>
      <c r="AB60" t="s">
        <v>137</v>
      </c>
      <c r="AC60" t="s">
        <v>137</v>
      </c>
      <c r="AD60" t="s">
        <v>137</v>
      </c>
      <c r="AE60" t="s">
        <v>137</v>
      </c>
    </row>
    <row r="61" spans="1:31" x14ac:dyDescent="0.3">
      <c r="A61" t="s">
        <v>65</v>
      </c>
      <c r="B61">
        <v>10</v>
      </c>
      <c r="C61" t="s">
        <v>137</v>
      </c>
      <c r="D61" t="s">
        <v>137</v>
      </c>
      <c r="E61" t="s">
        <v>137</v>
      </c>
      <c r="F61">
        <v>0.9</v>
      </c>
      <c r="G61">
        <v>0.9</v>
      </c>
      <c r="H61">
        <v>5.0000000000000001E-3</v>
      </c>
      <c r="I61">
        <v>120</v>
      </c>
      <c r="J61">
        <v>92</v>
      </c>
      <c r="K61">
        <v>8.7497430000000005</v>
      </c>
      <c r="L61">
        <v>15.864901</v>
      </c>
      <c r="M61">
        <v>332.43</v>
      </c>
      <c r="N61" t="s">
        <v>137</v>
      </c>
      <c r="O61" t="s">
        <v>137</v>
      </c>
      <c r="P61">
        <v>5.8079999999999998E-3</v>
      </c>
      <c r="Q61">
        <v>4.1786329999999996</v>
      </c>
      <c r="R61">
        <v>4.1844409999999996</v>
      </c>
      <c r="S61">
        <v>4.565302</v>
      </c>
      <c r="T61" t="s">
        <v>137</v>
      </c>
      <c r="U61" t="s">
        <v>137</v>
      </c>
      <c r="V61" t="s">
        <v>137</v>
      </c>
      <c r="W61" t="s">
        <v>137</v>
      </c>
      <c r="X61" t="s">
        <v>137</v>
      </c>
      <c r="Y61">
        <v>47.82</v>
      </c>
      <c r="Z61">
        <v>52.18</v>
      </c>
      <c r="AA61" t="s">
        <v>137</v>
      </c>
      <c r="AB61" t="s">
        <v>137</v>
      </c>
      <c r="AC61" t="s">
        <v>137</v>
      </c>
      <c r="AD61" t="s">
        <v>137</v>
      </c>
      <c r="AE61" t="s">
        <v>137</v>
      </c>
    </row>
    <row r="62" spans="1:31" x14ac:dyDescent="0.3">
      <c r="A62" t="s">
        <v>66</v>
      </c>
      <c r="B62">
        <v>10</v>
      </c>
      <c r="C62" t="s">
        <v>137</v>
      </c>
      <c r="D62" t="s">
        <v>137</v>
      </c>
      <c r="E62" t="s">
        <v>137</v>
      </c>
      <c r="F62">
        <v>0.9</v>
      </c>
      <c r="G62">
        <v>0.9</v>
      </c>
      <c r="H62">
        <v>5.0000000000000001E-3</v>
      </c>
      <c r="I62">
        <v>120</v>
      </c>
      <c r="J62">
        <v>81</v>
      </c>
      <c r="K62">
        <v>10.39751</v>
      </c>
      <c r="L62">
        <v>18.966207000000001</v>
      </c>
      <c r="M62">
        <v>400.23</v>
      </c>
      <c r="N62" t="s">
        <v>137</v>
      </c>
      <c r="O62" t="s">
        <v>137</v>
      </c>
      <c r="P62">
        <v>6.1120000000000002E-3</v>
      </c>
      <c r="Q62">
        <v>4.5890269999999997</v>
      </c>
      <c r="R62">
        <v>4.5951389999999996</v>
      </c>
      <c r="S62">
        <v>5.8023699999999998</v>
      </c>
      <c r="T62" t="s">
        <v>137</v>
      </c>
      <c r="U62" t="s">
        <v>137</v>
      </c>
      <c r="V62" t="s">
        <v>137</v>
      </c>
      <c r="W62" t="s">
        <v>137</v>
      </c>
      <c r="X62" t="s">
        <v>137</v>
      </c>
      <c r="Y62">
        <v>44.19</v>
      </c>
      <c r="Z62">
        <v>55.81</v>
      </c>
      <c r="AA62" t="s">
        <v>137</v>
      </c>
      <c r="AB62" t="s">
        <v>137</v>
      </c>
      <c r="AC62" t="s">
        <v>137</v>
      </c>
      <c r="AD62" t="s">
        <v>137</v>
      </c>
      <c r="AE62" t="s">
        <v>137</v>
      </c>
    </row>
    <row r="63" spans="1:31" x14ac:dyDescent="0.3">
      <c r="A63" t="s">
        <v>67</v>
      </c>
      <c r="B63">
        <v>10</v>
      </c>
      <c r="C63" t="s">
        <v>137</v>
      </c>
      <c r="D63" t="s">
        <v>137</v>
      </c>
      <c r="E63" t="s">
        <v>137</v>
      </c>
      <c r="F63">
        <v>0.9</v>
      </c>
      <c r="G63">
        <v>0.9</v>
      </c>
      <c r="H63">
        <v>5.0000000000000001E-3</v>
      </c>
      <c r="I63">
        <v>120</v>
      </c>
      <c r="J63">
        <v>79</v>
      </c>
      <c r="K63">
        <v>15.894873</v>
      </c>
      <c r="L63">
        <v>22.553083000000001</v>
      </c>
      <c r="M63">
        <v>597.04</v>
      </c>
      <c r="N63" t="s">
        <v>137</v>
      </c>
      <c r="O63" t="s">
        <v>137</v>
      </c>
      <c r="P63">
        <v>5.8209999999999998E-3</v>
      </c>
      <c r="Q63">
        <v>6.5171659999999996</v>
      </c>
      <c r="R63">
        <v>6.5229869999999996</v>
      </c>
      <c r="S63">
        <v>9.3718869999999992</v>
      </c>
      <c r="T63" t="s">
        <v>137</v>
      </c>
      <c r="U63" t="s">
        <v>137</v>
      </c>
      <c r="V63" t="s">
        <v>137</v>
      </c>
      <c r="W63" t="s">
        <v>137</v>
      </c>
      <c r="X63" t="s">
        <v>137</v>
      </c>
      <c r="Y63">
        <v>41.04</v>
      </c>
      <c r="Z63">
        <v>58.96</v>
      </c>
      <c r="AA63" t="s">
        <v>137</v>
      </c>
      <c r="AB63" t="s">
        <v>137</v>
      </c>
      <c r="AC63" t="s">
        <v>137</v>
      </c>
      <c r="AD63" t="s">
        <v>137</v>
      </c>
      <c r="AE63" t="s">
        <v>137</v>
      </c>
    </row>
    <row r="64" spans="1:31" x14ac:dyDescent="0.3">
      <c r="A64" t="s">
        <v>68</v>
      </c>
      <c r="B64">
        <v>10</v>
      </c>
      <c r="C64" t="s">
        <v>137</v>
      </c>
      <c r="D64" t="s">
        <v>137</v>
      </c>
      <c r="E64" t="s">
        <v>137</v>
      </c>
      <c r="F64">
        <v>0.9</v>
      </c>
      <c r="G64">
        <v>0.9</v>
      </c>
      <c r="H64">
        <v>5.0000000000000001E-3</v>
      </c>
      <c r="I64">
        <v>120</v>
      </c>
      <c r="J64">
        <v>87</v>
      </c>
      <c r="K64">
        <v>15.580574</v>
      </c>
      <c r="L64">
        <v>24.556422999999999</v>
      </c>
      <c r="M64">
        <v>542.47</v>
      </c>
      <c r="N64" t="s">
        <v>137</v>
      </c>
      <c r="O64" t="s">
        <v>137</v>
      </c>
      <c r="P64">
        <v>6.1079999999999997E-3</v>
      </c>
      <c r="Q64">
        <v>6.3290559999999996</v>
      </c>
      <c r="R64">
        <v>6.3351639999999998</v>
      </c>
      <c r="S64">
        <v>9.2454099999999997</v>
      </c>
      <c r="T64" t="s">
        <v>137</v>
      </c>
      <c r="U64" t="s">
        <v>137</v>
      </c>
      <c r="V64" t="s">
        <v>137</v>
      </c>
      <c r="W64" t="s">
        <v>137</v>
      </c>
      <c r="X64" t="s">
        <v>137</v>
      </c>
      <c r="Y64">
        <v>40.659999999999997</v>
      </c>
      <c r="Z64">
        <v>59.34</v>
      </c>
      <c r="AA64" t="s">
        <v>137</v>
      </c>
      <c r="AB64" t="s">
        <v>137</v>
      </c>
      <c r="AC64" t="s">
        <v>137</v>
      </c>
      <c r="AD64" t="s">
        <v>137</v>
      </c>
      <c r="AE64" t="s">
        <v>137</v>
      </c>
    </row>
    <row r="65" spans="1:31" x14ac:dyDescent="0.3">
      <c r="A65" t="s">
        <v>69</v>
      </c>
      <c r="B65">
        <v>10</v>
      </c>
      <c r="C65" t="s">
        <v>137</v>
      </c>
      <c r="D65" t="s">
        <v>137</v>
      </c>
      <c r="E65" t="s">
        <v>137</v>
      </c>
      <c r="F65">
        <v>0.9</v>
      </c>
      <c r="G65">
        <v>0.9</v>
      </c>
      <c r="H65">
        <v>5.0000000000000001E-3</v>
      </c>
      <c r="I65">
        <v>120</v>
      </c>
      <c r="J65">
        <v>84</v>
      </c>
      <c r="K65">
        <v>12.93172</v>
      </c>
      <c r="L65">
        <v>20.943259999999999</v>
      </c>
      <c r="M65">
        <v>378.81</v>
      </c>
      <c r="N65" t="s">
        <v>137</v>
      </c>
      <c r="O65" t="s">
        <v>137</v>
      </c>
      <c r="P65">
        <v>6.581E-3</v>
      </c>
      <c r="Q65">
        <v>5.5200129999999996</v>
      </c>
      <c r="R65">
        <v>5.5265940000000002</v>
      </c>
      <c r="S65">
        <v>7.4051260000000001</v>
      </c>
      <c r="T65" t="s">
        <v>137</v>
      </c>
      <c r="U65" t="s">
        <v>137</v>
      </c>
      <c r="V65" t="s">
        <v>137</v>
      </c>
      <c r="W65" t="s">
        <v>137</v>
      </c>
      <c r="X65" t="s">
        <v>137</v>
      </c>
      <c r="Y65">
        <v>42.74</v>
      </c>
      <c r="Z65">
        <v>57.26</v>
      </c>
      <c r="AA65" t="s">
        <v>137</v>
      </c>
      <c r="AB65" t="s">
        <v>137</v>
      </c>
      <c r="AC65" t="s">
        <v>137</v>
      </c>
      <c r="AD65" t="s">
        <v>137</v>
      </c>
      <c r="AE65" t="s">
        <v>137</v>
      </c>
    </row>
    <row r="66" spans="1:31" x14ac:dyDescent="0.3">
      <c r="A66" t="s">
        <v>70</v>
      </c>
      <c r="B66">
        <v>10</v>
      </c>
      <c r="C66" t="s">
        <v>137</v>
      </c>
      <c r="D66" t="s">
        <v>137</v>
      </c>
      <c r="E66" t="s">
        <v>137</v>
      </c>
      <c r="F66">
        <v>0.9</v>
      </c>
      <c r="G66">
        <v>0.9</v>
      </c>
      <c r="H66">
        <v>5.0000000000000001E-3</v>
      </c>
      <c r="I66">
        <v>120</v>
      </c>
      <c r="J66">
        <v>87</v>
      </c>
      <c r="K66">
        <v>6.041493</v>
      </c>
      <c r="L66">
        <v>11.577602000000001</v>
      </c>
      <c r="M66">
        <v>201.21</v>
      </c>
      <c r="N66" t="s">
        <v>137</v>
      </c>
      <c r="O66" t="s">
        <v>137</v>
      </c>
      <c r="P66">
        <v>6.4700000000000001E-3</v>
      </c>
      <c r="Q66">
        <v>3.3401510000000001</v>
      </c>
      <c r="R66">
        <v>3.346622</v>
      </c>
      <c r="S66">
        <v>2.6948720000000002</v>
      </c>
      <c r="T66" t="s">
        <v>137</v>
      </c>
      <c r="U66" t="s">
        <v>137</v>
      </c>
      <c r="V66" t="s">
        <v>137</v>
      </c>
      <c r="W66" t="s">
        <v>137</v>
      </c>
      <c r="X66" t="s">
        <v>137</v>
      </c>
      <c r="Y66">
        <v>55.39</v>
      </c>
      <c r="Z66">
        <v>44.61</v>
      </c>
      <c r="AA66" t="s">
        <v>137</v>
      </c>
      <c r="AB66" t="s">
        <v>137</v>
      </c>
      <c r="AC66" t="s">
        <v>137</v>
      </c>
      <c r="AD66" t="s">
        <v>137</v>
      </c>
      <c r="AE66" t="s">
        <v>137</v>
      </c>
    </row>
    <row r="67" spans="1:31" x14ac:dyDescent="0.3">
      <c r="A67" t="s">
        <v>71</v>
      </c>
      <c r="B67">
        <v>10</v>
      </c>
      <c r="C67" t="s">
        <v>137</v>
      </c>
      <c r="D67" t="s">
        <v>137</v>
      </c>
      <c r="E67" t="s">
        <v>137</v>
      </c>
      <c r="F67">
        <v>0.9</v>
      </c>
      <c r="G67">
        <v>0.9</v>
      </c>
      <c r="H67">
        <v>5.0000000000000001E-3</v>
      </c>
      <c r="I67">
        <v>120</v>
      </c>
      <c r="J67">
        <v>77</v>
      </c>
      <c r="K67">
        <v>14.521198999999999</v>
      </c>
      <c r="L67">
        <v>22.426991999999998</v>
      </c>
      <c r="M67">
        <v>467.01</v>
      </c>
      <c r="N67" t="s">
        <v>137</v>
      </c>
      <c r="O67" t="s">
        <v>137</v>
      </c>
      <c r="P67">
        <v>6.1219999999999998E-3</v>
      </c>
      <c r="Q67">
        <v>6.3703430000000001</v>
      </c>
      <c r="R67">
        <v>6.3764649999999996</v>
      </c>
      <c r="S67">
        <v>8.1447339999999997</v>
      </c>
      <c r="T67" t="s">
        <v>137</v>
      </c>
      <c r="U67" t="s">
        <v>137</v>
      </c>
      <c r="V67" t="s">
        <v>137</v>
      </c>
      <c r="W67" t="s">
        <v>137</v>
      </c>
      <c r="X67" t="s">
        <v>137</v>
      </c>
      <c r="Y67">
        <v>43.91</v>
      </c>
      <c r="Z67">
        <v>56.09</v>
      </c>
      <c r="AA67" t="s">
        <v>137</v>
      </c>
      <c r="AB67" t="s">
        <v>137</v>
      </c>
      <c r="AC67" t="s">
        <v>137</v>
      </c>
      <c r="AD67" t="s">
        <v>137</v>
      </c>
      <c r="AE67" t="s">
        <v>137</v>
      </c>
    </row>
    <row r="68" spans="1:31" x14ac:dyDescent="0.3">
      <c r="A68" t="s">
        <v>72</v>
      </c>
      <c r="B68">
        <v>10</v>
      </c>
      <c r="C68" t="s">
        <v>137</v>
      </c>
      <c r="D68" t="s">
        <v>137</v>
      </c>
      <c r="E68" t="s">
        <v>137</v>
      </c>
      <c r="F68">
        <v>0.9</v>
      </c>
      <c r="G68">
        <v>0.9</v>
      </c>
      <c r="H68">
        <v>5.0000000000000001E-3</v>
      </c>
      <c r="I68">
        <v>120</v>
      </c>
      <c r="J68">
        <v>84</v>
      </c>
      <c r="K68">
        <v>11.860391999999999</v>
      </c>
      <c r="L68">
        <v>18.974959999999999</v>
      </c>
      <c r="M68">
        <v>380.69</v>
      </c>
      <c r="N68" t="s">
        <v>137</v>
      </c>
      <c r="O68" t="s">
        <v>137</v>
      </c>
      <c r="P68">
        <v>6.0740000000000004E-3</v>
      </c>
      <c r="Q68">
        <v>5.4520869999999997</v>
      </c>
      <c r="R68">
        <v>5.4581609999999996</v>
      </c>
      <c r="S68">
        <v>6.4022309999999996</v>
      </c>
      <c r="T68" t="s">
        <v>137</v>
      </c>
      <c r="U68" t="s">
        <v>137</v>
      </c>
      <c r="V68" t="s">
        <v>137</v>
      </c>
      <c r="W68" t="s">
        <v>137</v>
      </c>
      <c r="X68" t="s">
        <v>137</v>
      </c>
      <c r="Y68">
        <v>46.02</v>
      </c>
      <c r="Z68">
        <v>53.98</v>
      </c>
      <c r="AA68" t="s">
        <v>137</v>
      </c>
      <c r="AB68" t="s">
        <v>137</v>
      </c>
      <c r="AC68" t="s">
        <v>137</v>
      </c>
      <c r="AD68" t="s">
        <v>137</v>
      </c>
      <c r="AE68" t="s">
        <v>137</v>
      </c>
    </row>
    <row r="69" spans="1:31" x14ac:dyDescent="0.3">
      <c r="A69" t="s">
        <v>73</v>
      </c>
      <c r="B69">
        <v>10</v>
      </c>
      <c r="C69" t="s">
        <v>137</v>
      </c>
      <c r="D69" t="s">
        <v>137</v>
      </c>
      <c r="E69" t="s">
        <v>137</v>
      </c>
      <c r="F69">
        <v>0.9</v>
      </c>
      <c r="G69">
        <v>0.9</v>
      </c>
      <c r="H69">
        <v>5.0000000000000001E-3</v>
      </c>
      <c r="I69">
        <v>120</v>
      </c>
      <c r="J69">
        <v>91</v>
      </c>
      <c r="K69">
        <v>5.7167880000000002</v>
      </c>
      <c r="L69">
        <v>10.411823</v>
      </c>
      <c r="M69">
        <v>194.66</v>
      </c>
      <c r="N69" t="s">
        <v>137</v>
      </c>
      <c r="O69" t="s">
        <v>137</v>
      </c>
      <c r="P69">
        <v>6.7799999999999996E-3</v>
      </c>
      <c r="Q69">
        <v>3.2417020000000001</v>
      </c>
      <c r="R69">
        <v>3.2484829999999998</v>
      </c>
      <c r="S69">
        <v>2.468305</v>
      </c>
      <c r="T69" t="s">
        <v>137</v>
      </c>
      <c r="U69" t="s">
        <v>137</v>
      </c>
      <c r="V69" t="s">
        <v>137</v>
      </c>
      <c r="W69" t="s">
        <v>137</v>
      </c>
      <c r="X69" t="s">
        <v>137</v>
      </c>
      <c r="Y69">
        <v>56.82</v>
      </c>
      <c r="Z69">
        <v>43.18</v>
      </c>
      <c r="AA69" t="s">
        <v>137</v>
      </c>
      <c r="AB69" t="s">
        <v>137</v>
      </c>
      <c r="AC69" t="s">
        <v>137</v>
      </c>
      <c r="AD69" t="s">
        <v>137</v>
      </c>
      <c r="AE69" t="s">
        <v>137</v>
      </c>
    </row>
    <row r="70" spans="1:31" x14ac:dyDescent="0.3">
      <c r="A70" t="s">
        <v>74</v>
      </c>
      <c r="B70">
        <v>10</v>
      </c>
      <c r="C70" t="s">
        <v>137</v>
      </c>
      <c r="D70" t="s">
        <v>137</v>
      </c>
      <c r="E70" t="s">
        <v>137</v>
      </c>
      <c r="F70">
        <v>0.9</v>
      </c>
      <c r="G70">
        <v>0.9</v>
      </c>
      <c r="H70">
        <v>5.0000000000000001E-3</v>
      </c>
      <c r="I70">
        <v>120</v>
      </c>
      <c r="J70">
        <v>67</v>
      </c>
      <c r="K70">
        <v>17.339175999999998</v>
      </c>
      <c r="L70">
        <v>22.471715</v>
      </c>
      <c r="M70">
        <v>541.46</v>
      </c>
      <c r="N70" t="s">
        <v>137</v>
      </c>
      <c r="O70" t="s">
        <v>137</v>
      </c>
      <c r="P70">
        <v>7.4400000000000004E-3</v>
      </c>
      <c r="Q70">
        <v>8.2525110000000002</v>
      </c>
      <c r="R70">
        <v>8.2599509999999992</v>
      </c>
      <c r="S70">
        <v>9.0792260000000002</v>
      </c>
      <c r="T70" t="s">
        <v>137</v>
      </c>
      <c r="U70" t="s">
        <v>137</v>
      </c>
      <c r="V70" t="s">
        <v>137</v>
      </c>
      <c r="W70" t="s">
        <v>137</v>
      </c>
      <c r="X70" t="s">
        <v>137</v>
      </c>
      <c r="Y70">
        <v>47.64</v>
      </c>
      <c r="Z70">
        <v>52.36</v>
      </c>
      <c r="AA70" t="s">
        <v>137</v>
      </c>
      <c r="AB70" t="s">
        <v>137</v>
      </c>
      <c r="AC70" t="s">
        <v>137</v>
      </c>
      <c r="AD70" t="s">
        <v>137</v>
      </c>
      <c r="AE70" t="s">
        <v>137</v>
      </c>
    </row>
    <row r="71" spans="1:31" x14ac:dyDescent="0.3">
      <c r="A71" t="s">
        <v>75</v>
      </c>
      <c r="B71">
        <v>10</v>
      </c>
      <c r="C71" t="s">
        <v>137</v>
      </c>
      <c r="D71" t="s">
        <v>137</v>
      </c>
      <c r="E71" t="s">
        <v>137</v>
      </c>
      <c r="F71">
        <v>0.9</v>
      </c>
      <c r="G71">
        <v>0.9</v>
      </c>
      <c r="H71">
        <v>5.0000000000000001E-3</v>
      </c>
      <c r="I71">
        <v>120</v>
      </c>
      <c r="J71">
        <v>52</v>
      </c>
      <c r="K71">
        <v>15.069526</v>
      </c>
      <c r="L71">
        <v>21.068729000000001</v>
      </c>
      <c r="M71">
        <v>590.66999999999996</v>
      </c>
      <c r="N71" t="s">
        <v>137</v>
      </c>
      <c r="O71" t="s">
        <v>137</v>
      </c>
      <c r="P71">
        <v>5.8079999999999998E-3</v>
      </c>
      <c r="Q71">
        <v>6.385656</v>
      </c>
      <c r="R71">
        <v>6.391464</v>
      </c>
      <c r="S71">
        <v>8.6780629999999999</v>
      </c>
      <c r="T71" t="s">
        <v>137</v>
      </c>
      <c r="U71" t="s">
        <v>137</v>
      </c>
      <c r="V71" t="s">
        <v>137</v>
      </c>
      <c r="W71" t="s">
        <v>137</v>
      </c>
      <c r="X71" t="s">
        <v>137</v>
      </c>
      <c r="Y71">
        <v>42.41</v>
      </c>
      <c r="Z71">
        <v>57.59</v>
      </c>
      <c r="AA71" t="s">
        <v>137</v>
      </c>
      <c r="AB71" t="s">
        <v>137</v>
      </c>
      <c r="AC71" t="s">
        <v>137</v>
      </c>
      <c r="AD71" t="s">
        <v>137</v>
      </c>
      <c r="AE71" t="s">
        <v>137</v>
      </c>
    </row>
    <row r="72" spans="1:31" x14ac:dyDescent="0.3">
      <c r="A72" t="s">
        <v>76</v>
      </c>
      <c r="B72">
        <v>10</v>
      </c>
      <c r="C72" t="s">
        <v>137</v>
      </c>
      <c r="D72" t="s">
        <v>137</v>
      </c>
      <c r="E72" t="s">
        <v>137</v>
      </c>
      <c r="F72">
        <v>0.9</v>
      </c>
      <c r="G72">
        <v>0.9</v>
      </c>
      <c r="H72">
        <v>5.0000000000000001E-3</v>
      </c>
      <c r="I72">
        <v>120</v>
      </c>
      <c r="J72">
        <v>92</v>
      </c>
      <c r="K72">
        <v>7.7462929999999997</v>
      </c>
      <c r="L72">
        <v>14.498841000000001</v>
      </c>
      <c r="M72">
        <v>280.36</v>
      </c>
      <c r="N72" t="s">
        <v>137</v>
      </c>
      <c r="O72" t="s">
        <v>137</v>
      </c>
      <c r="P72">
        <v>5.8710000000000004E-3</v>
      </c>
      <c r="Q72">
        <v>3.835979</v>
      </c>
      <c r="R72">
        <v>3.8418489999999998</v>
      </c>
      <c r="S72">
        <v>3.9044430000000001</v>
      </c>
      <c r="T72" t="s">
        <v>137</v>
      </c>
      <c r="U72" t="s">
        <v>137</v>
      </c>
      <c r="V72" t="s">
        <v>137</v>
      </c>
      <c r="W72" t="s">
        <v>137</v>
      </c>
      <c r="X72" t="s">
        <v>137</v>
      </c>
      <c r="Y72">
        <v>49.6</v>
      </c>
      <c r="Z72">
        <v>50.4</v>
      </c>
      <c r="AA72" t="s">
        <v>137</v>
      </c>
      <c r="AB72" t="s">
        <v>137</v>
      </c>
      <c r="AC72" t="s">
        <v>137</v>
      </c>
      <c r="AD72" t="s">
        <v>137</v>
      </c>
      <c r="AE72" t="s">
        <v>137</v>
      </c>
    </row>
    <row r="73" spans="1:31" x14ac:dyDescent="0.3">
      <c r="A73" t="s">
        <v>77</v>
      </c>
      <c r="B73">
        <v>10</v>
      </c>
      <c r="C73" t="s">
        <v>137</v>
      </c>
      <c r="D73" t="s">
        <v>137</v>
      </c>
      <c r="E73" t="s">
        <v>137</v>
      </c>
      <c r="F73">
        <v>0.9</v>
      </c>
      <c r="G73">
        <v>0.9</v>
      </c>
      <c r="H73">
        <v>5.0000000000000001E-3</v>
      </c>
      <c r="I73">
        <v>120</v>
      </c>
      <c r="J73">
        <v>16</v>
      </c>
      <c r="K73">
        <v>18.117573</v>
      </c>
      <c r="L73">
        <v>15.557634999999999</v>
      </c>
      <c r="M73">
        <v>678.25</v>
      </c>
      <c r="N73" t="s">
        <v>137</v>
      </c>
      <c r="O73" t="s">
        <v>137</v>
      </c>
      <c r="P73">
        <v>6.0070000000000002E-3</v>
      </c>
      <c r="Q73">
        <v>9.103529</v>
      </c>
      <c r="R73">
        <v>9.1095349999999993</v>
      </c>
      <c r="S73">
        <v>9.0080380000000009</v>
      </c>
      <c r="T73" t="s">
        <v>137</v>
      </c>
      <c r="U73" t="s">
        <v>137</v>
      </c>
      <c r="V73" t="s">
        <v>137</v>
      </c>
      <c r="W73" t="s">
        <v>137</v>
      </c>
      <c r="X73" t="s">
        <v>137</v>
      </c>
      <c r="Y73">
        <v>50.28</v>
      </c>
      <c r="Z73">
        <v>49.72</v>
      </c>
      <c r="AA73" t="s">
        <v>137</v>
      </c>
      <c r="AB73" t="s">
        <v>137</v>
      </c>
      <c r="AC73" t="s">
        <v>137</v>
      </c>
      <c r="AD73" t="s">
        <v>137</v>
      </c>
      <c r="AE73" t="s">
        <v>137</v>
      </c>
    </row>
    <row r="74" spans="1:31" x14ac:dyDescent="0.3">
      <c r="A74" t="s">
        <v>78</v>
      </c>
      <c r="B74">
        <v>10</v>
      </c>
      <c r="C74" t="s">
        <v>137</v>
      </c>
      <c r="D74" t="s">
        <v>137</v>
      </c>
      <c r="E74" t="s">
        <v>137</v>
      </c>
      <c r="F74">
        <v>0.9</v>
      </c>
      <c r="G74">
        <v>0.9</v>
      </c>
      <c r="H74">
        <v>5.0000000000000001E-3</v>
      </c>
      <c r="I74">
        <v>120</v>
      </c>
      <c r="J74">
        <v>89</v>
      </c>
      <c r="K74">
        <v>9.8076039999999995</v>
      </c>
      <c r="L74">
        <v>18.449487999999999</v>
      </c>
      <c r="M74">
        <v>321.48</v>
      </c>
      <c r="N74" t="s">
        <v>137</v>
      </c>
      <c r="O74" t="s">
        <v>137</v>
      </c>
      <c r="P74">
        <v>6.3870000000000003E-3</v>
      </c>
      <c r="Q74">
        <v>4.478942</v>
      </c>
      <c r="R74">
        <v>4.4853290000000001</v>
      </c>
      <c r="S74">
        <v>5.3222750000000003</v>
      </c>
      <c r="T74" t="s">
        <v>137</v>
      </c>
      <c r="U74" t="s">
        <v>137</v>
      </c>
      <c r="V74" t="s">
        <v>137</v>
      </c>
      <c r="W74" t="s">
        <v>137</v>
      </c>
      <c r="X74" t="s">
        <v>137</v>
      </c>
      <c r="Y74">
        <v>45.73</v>
      </c>
      <c r="Z74">
        <v>54.27</v>
      </c>
      <c r="AA74" t="s">
        <v>137</v>
      </c>
      <c r="AB74" t="s">
        <v>137</v>
      </c>
      <c r="AC74" t="s">
        <v>137</v>
      </c>
      <c r="AD74" t="s">
        <v>137</v>
      </c>
      <c r="AE74" t="s">
        <v>137</v>
      </c>
    </row>
    <row r="75" spans="1:31" x14ac:dyDescent="0.3">
      <c r="A75" t="s">
        <v>79</v>
      </c>
      <c r="B75">
        <v>10</v>
      </c>
      <c r="C75" t="s">
        <v>137</v>
      </c>
      <c r="D75" t="s">
        <v>137</v>
      </c>
      <c r="E75" t="s">
        <v>137</v>
      </c>
      <c r="F75">
        <v>0.9</v>
      </c>
      <c r="G75">
        <v>0.9</v>
      </c>
      <c r="H75">
        <v>5.0000000000000001E-3</v>
      </c>
      <c r="I75">
        <v>120</v>
      </c>
      <c r="J75">
        <v>94</v>
      </c>
      <c r="K75">
        <v>6.0214730000000003</v>
      </c>
      <c r="L75">
        <v>13.712348</v>
      </c>
      <c r="M75">
        <v>283.86</v>
      </c>
      <c r="N75" t="s">
        <v>137</v>
      </c>
      <c r="O75" t="s">
        <v>137</v>
      </c>
      <c r="P75">
        <v>6.8199999999999997E-3</v>
      </c>
      <c r="Q75">
        <v>2.768859</v>
      </c>
      <c r="R75">
        <v>2.7756789999999998</v>
      </c>
      <c r="S75">
        <v>3.2457929999999999</v>
      </c>
      <c r="T75" t="s">
        <v>137</v>
      </c>
      <c r="U75" t="s">
        <v>137</v>
      </c>
      <c r="V75" t="s">
        <v>137</v>
      </c>
      <c r="W75" t="s">
        <v>137</v>
      </c>
      <c r="X75" t="s">
        <v>137</v>
      </c>
      <c r="Y75">
        <v>46.1</v>
      </c>
      <c r="Z75">
        <v>53.9</v>
      </c>
      <c r="AA75" t="s">
        <v>137</v>
      </c>
      <c r="AB75" t="s">
        <v>137</v>
      </c>
      <c r="AC75" t="s">
        <v>137</v>
      </c>
      <c r="AD75" t="s">
        <v>137</v>
      </c>
      <c r="AE75" t="s">
        <v>137</v>
      </c>
    </row>
    <row r="76" spans="1:31" x14ac:dyDescent="0.3">
      <c r="A76" t="s">
        <v>80</v>
      </c>
      <c r="B76">
        <v>10</v>
      </c>
      <c r="C76" t="s">
        <v>137</v>
      </c>
      <c r="D76" t="s">
        <v>137</v>
      </c>
      <c r="E76" t="s">
        <v>137</v>
      </c>
      <c r="F76">
        <v>0.9</v>
      </c>
      <c r="G76">
        <v>0.9</v>
      </c>
      <c r="H76">
        <v>5.0000000000000001E-3</v>
      </c>
      <c r="I76">
        <v>120</v>
      </c>
      <c r="J76">
        <v>81</v>
      </c>
      <c r="K76">
        <v>5.0317119999999997</v>
      </c>
      <c r="L76">
        <v>15.460728</v>
      </c>
      <c r="M76">
        <v>286.51</v>
      </c>
      <c r="N76" t="s">
        <v>137</v>
      </c>
      <c r="O76" t="s">
        <v>137</v>
      </c>
      <c r="P76">
        <v>7.4460000000000004E-3</v>
      </c>
      <c r="Q76">
        <v>1.800306</v>
      </c>
      <c r="R76">
        <v>1.807752</v>
      </c>
      <c r="S76">
        <v>3.2239599999999999</v>
      </c>
      <c r="T76" t="s">
        <v>137</v>
      </c>
      <c r="U76" t="s">
        <v>137</v>
      </c>
      <c r="V76" t="s">
        <v>137</v>
      </c>
      <c r="W76" t="s">
        <v>137</v>
      </c>
      <c r="X76" t="s">
        <v>137</v>
      </c>
      <c r="Y76">
        <v>35.93</v>
      </c>
      <c r="Z76">
        <v>64.069999999999993</v>
      </c>
      <c r="AA76" t="s">
        <v>137</v>
      </c>
      <c r="AB76" t="s">
        <v>137</v>
      </c>
      <c r="AC76" t="s">
        <v>137</v>
      </c>
      <c r="AD76" t="s">
        <v>137</v>
      </c>
      <c r="AE76" t="s">
        <v>137</v>
      </c>
    </row>
    <row r="77" spans="1:31" x14ac:dyDescent="0.3">
      <c r="A77" t="s">
        <v>81</v>
      </c>
      <c r="B77">
        <v>10</v>
      </c>
      <c r="C77" t="s">
        <v>137</v>
      </c>
      <c r="D77" t="s">
        <v>137</v>
      </c>
      <c r="E77" t="s">
        <v>137</v>
      </c>
      <c r="F77">
        <v>0.9</v>
      </c>
      <c r="G77">
        <v>0.9</v>
      </c>
      <c r="H77">
        <v>5.0000000000000001E-3</v>
      </c>
      <c r="I77">
        <v>120</v>
      </c>
      <c r="J77">
        <v>77</v>
      </c>
      <c r="K77">
        <v>8.5961350000000003</v>
      </c>
      <c r="L77">
        <v>18.450372000000002</v>
      </c>
      <c r="M77">
        <v>461.91</v>
      </c>
      <c r="N77" t="s">
        <v>137</v>
      </c>
      <c r="O77" t="s">
        <v>137</v>
      </c>
      <c r="P77">
        <v>9.9819999999999996E-3</v>
      </c>
      <c r="Q77">
        <v>3.9319679999999999</v>
      </c>
      <c r="R77">
        <v>3.9419499999999998</v>
      </c>
      <c r="S77">
        <v>4.654185</v>
      </c>
      <c r="T77" t="s">
        <v>137</v>
      </c>
      <c r="U77" t="s">
        <v>137</v>
      </c>
      <c r="V77" t="s">
        <v>137</v>
      </c>
      <c r="W77" t="s">
        <v>137</v>
      </c>
      <c r="X77" t="s">
        <v>137</v>
      </c>
      <c r="Y77">
        <v>45.86</v>
      </c>
      <c r="Z77">
        <v>54.14</v>
      </c>
      <c r="AA77" t="s">
        <v>137</v>
      </c>
      <c r="AB77" t="s">
        <v>137</v>
      </c>
      <c r="AC77" t="s">
        <v>137</v>
      </c>
      <c r="AD77" t="s">
        <v>137</v>
      </c>
      <c r="AE77" t="s">
        <v>137</v>
      </c>
    </row>
    <row r="78" spans="1:31" x14ac:dyDescent="0.3">
      <c r="A78" t="s">
        <v>82</v>
      </c>
      <c r="B78">
        <v>10</v>
      </c>
      <c r="C78" t="s">
        <v>137</v>
      </c>
      <c r="D78" t="s">
        <v>137</v>
      </c>
      <c r="E78" t="s">
        <v>137</v>
      </c>
      <c r="F78">
        <v>0.9</v>
      </c>
      <c r="G78">
        <v>0.9</v>
      </c>
      <c r="H78">
        <v>5.0000000000000001E-3</v>
      </c>
      <c r="I78">
        <v>120</v>
      </c>
      <c r="J78">
        <v>93</v>
      </c>
      <c r="K78">
        <v>4.06874</v>
      </c>
      <c r="L78">
        <v>14.643506</v>
      </c>
      <c r="M78">
        <v>223.87</v>
      </c>
      <c r="N78" t="s">
        <v>137</v>
      </c>
      <c r="O78" t="s">
        <v>137</v>
      </c>
      <c r="P78">
        <v>6.2760000000000003E-3</v>
      </c>
      <c r="Q78">
        <v>1.4013549999999999</v>
      </c>
      <c r="R78">
        <v>1.4076299999999999</v>
      </c>
      <c r="S78">
        <v>2.6611090000000002</v>
      </c>
      <c r="T78" t="s">
        <v>137</v>
      </c>
      <c r="U78" t="s">
        <v>137</v>
      </c>
      <c r="V78" t="s">
        <v>137</v>
      </c>
      <c r="W78" t="s">
        <v>137</v>
      </c>
      <c r="X78" t="s">
        <v>137</v>
      </c>
      <c r="Y78">
        <v>34.6</v>
      </c>
      <c r="Z78">
        <v>65.400000000000006</v>
      </c>
      <c r="AA78" t="s">
        <v>137</v>
      </c>
      <c r="AB78" t="s">
        <v>137</v>
      </c>
      <c r="AC78" t="s">
        <v>137</v>
      </c>
      <c r="AD78" t="s">
        <v>137</v>
      </c>
      <c r="AE78" t="s">
        <v>137</v>
      </c>
    </row>
    <row r="79" spans="1:31" x14ac:dyDescent="0.3">
      <c r="A79" t="s">
        <v>83</v>
      </c>
      <c r="B79">
        <v>10</v>
      </c>
      <c r="C79" t="s">
        <v>137</v>
      </c>
      <c r="D79" t="s">
        <v>137</v>
      </c>
      <c r="E79" t="s">
        <v>137</v>
      </c>
      <c r="F79">
        <v>0.9</v>
      </c>
      <c r="G79">
        <v>0.9</v>
      </c>
      <c r="H79">
        <v>5.0000000000000001E-3</v>
      </c>
      <c r="I79">
        <v>120</v>
      </c>
      <c r="J79">
        <v>63</v>
      </c>
      <c r="K79">
        <v>2.598649</v>
      </c>
      <c r="L79">
        <v>7.1084639999999997</v>
      </c>
      <c r="M79">
        <v>171.27</v>
      </c>
      <c r="N79" t="s">
        <v>137</v>
      </c>
      <c r="O79" t="s">
        <v>137</v>
      </c>
      <c r="P79">
        <v>6.5129999999999997E-3</v>
      </c>
      <c r="Q79">
        <v>1.3643540000000001</v>
      </c>
      <c r="R79">
        <v>1.3708670000000001</v>
      </c>
      <c r="S79">
        <v>1.2277819999999999</v>
      </c>
      <c r="T79" t="s">
        <v>137</v>
      </c>
      <c r="U79" t="s">
        <v>137</v>
      </c>
      <c r="V79" t="s">
        <v>137</v>
      </c>
      <c r="W79" t="s">
        <v>137</v>
      </c>
      <c r="X79" t="s">
        <v>137</v>
      </c>
      <c r="Y79">
        <v>52.75</v>
      </c>
      <c r="Z79">
        <v>47.25</v>
      </c>
      <c r="AA79" t="s">
        <v>137</v>
      </c>
      <c r="AB79" t="s">
        <v>137</v>
      </c>
      <c r="AC79" t="s">
        <v>137</v>
      </c>
      <c r="AD79" t="s">
        <v>137</v>
      </c>
      <c r="AE79" t="s">
        <v>137</v>
      </c>
    </row>
    <row r="80" spans="1:31" x14ac:dyDescent="0.3">
      <c r="A80" t="s">
        <v>84</v>
      </c>
      <c r="B80">
        <v>10</v>
      </c>
      <c r="C80" t="s">
        <v>137</v>
      </c>
      <c r="D80" t="s">
        <v>137</v>
      </c>
      <c r="E80" t="s">
        <v>137</v>
      </c>
      <c r="F80">
        <v>0.9</v>
      </c>
      <c r="G80">
        <v>0.9</v>
      </c>
      <c r="H80">
        <v>5.0000000000000001E-3</v>
      </c>
      <c r="I80">
        <v>120</v>
      </c>
      <c r="J80">
        <v>29</v>
      </c>
      <c r="K80">
        <v>11.678478</v>
      </c>
      <c r="L80">
        <v>27.031704000000001</v>
      </c>
      <c r="M80">
        <v>678.72</v>
      </c>
      <c r="N80" t="s">
        <v>137</v>
      </c>
      <c r="O80" t="s">
        <v>137</v>
      </c>
      <c r="P80">
        <v>6.7060000000000002E-3</v>
      </c>
      <c r="Q80">
        <v>3.496575</v>
      </c>
      <c r="R80">
        <v>3.5032809999999999</v>
      </c>
      <c r="S80">
        <v>8.1751959999999997</v>
      </c>
      <c r="T80" t="s">
        <v>137</v>
      </c>
      <c r="U80" t="s">
        <v>137</v>
      </c>
      <c r="V80" t="s">
        <v>137</v>
      </c>
      <c r="W80" t="s">
        <v>137</v>
      </c>
      <c r="X80" t="s">
        <v>137</v>
      </c>
      <c r="Y80">
        <v>30</v>
      </c>
      <c r="Z80">
        <v>70</v>
      </c>
      <c r="AA80" t="s">
        <v>137</v>
      </c>
      <c r="AB80" t="s">
        <v>137</v>
      </c>
      <c r="AC80" t="s">
        <v>137</v>
      </c>
      <c r="AD80" t="s">
        <v>137</v>
      </c>
      <c r="AE80" t="s">
        <v>137</v>
      </c>
    </row>
    <row r="81" spans="1:31" x14ac:dyDescent="0.3">
      <c r="A81" t="s">
        <v>85</v>
      </c>
      <c r="B81">
        <v>10</v>
      </c>
      <c r="C81" t="s">
        <v>137</v>
      </c>
      <c r="D81" t="s">
        <v>137</v>
      </c>
      <c r="E81" t="s">
        <v>137</v>
      </c>
      <c r="F81">
        <v>0.9</v>
      </c>
      <c r="G81">
        <v>0.9</v>
      </c>
      <c r="H81">
        <v>5.0000000000000001E-3</v>
      </c>
      <c r="I81">
        <v>120</v>
      </c>
      <c r="J81">
        <v>90</v>
      </c>
      <c r="K81">
        <v>1.37215</v>
      </c>
      <c r="L81">
        <v>4.6901529999999996</v>
      </c>
      <c r="M81">
        <v>64.69</v>
      </c>
      <c r="N81" t="s">
        <v>137</v>
      </c>
      <c r="O81" t="s">
        <v>137</v>
      </c>
      <c r="P81">
        <v>1.1270000000000001E-2</v>
      </c>
      <c r="Q81">
        <v>0.85064399999999996</v>
      </c>
      <c r="R81">
        <v>0.86191300000000004</v>
      </c>
      <c r="S81">
        <v>0.51023700000000005</v>
      </c>
      <c r="T81" t="s">
        <v>137</v>
      </c>
      <c r="U81" t="s">
        <v>137</v>
      </c>
      <c r="V81" t="s">
        <v>137</v>
      </c>
      <c r="W81" t="s">
        <v>137</v>
      </c>
      <c r="X81" t="s">
        <v>137</v>
      </c>
      <c r="Y81">
        <v>62.81</v>
      </c>
      <c r="Z81">
        <v>37.19</v>
      </c>
      <c r="AA81" t="s">
        <v>137</v>
      </c>
      <c r="AB81" t="s">
        <v>137</v>
      </c>
      <c r="AC81" t="s">
        <v>137</v>
      </c>
      <c r="AD81" t="s">
        <v>137</v>
      </c>
      <c r="AE81" t="s">
        <v>137</v>
      </c>
    </row>
    <row r="82" spans="1:31" x14ac:dyDescent="0.3">
      <c r="A82" t="s">
        <v>86</v>
      </c>
      <c r="B82">
        <v>10</v>
      </c>
      <c r="C82" t="s">
        <v>137</v>
      </c>
      <c r="D82" t="s">
        <v>137</v>
      </c>
      <c r="E82" t="s">
        <v>137</v>
      </c>
      <c r="F82">
        <v>0.9</v>
      </c>
      <c r="G82">
        <v>0.9</v>
      </c>
      <c r="H82">
        <v>5.0000000000000001E-3</v>
      </c>
      <c r="I82">
        <v>120</v>
      </c>
      <c r="J82">
        <v>52</v>
      </c>
      <c r="K82">
        <v>10.417624</v>
      </c>
      <c r="L82">
        <v>24.071059999999999</v>
      </c>
      <c r="M82">
        <v>701.71</v>
      </c>
      <c r="N82" t="s">
        <v>137</v>
      </c>
      <c r="O82" t="s">
        <v>137</v>
      </c>
      <c r="P82">
        <v>6.7819999999999998E-3</v>
      </c>
      <c r="Q82">
        <v>3.026097</v>
      </c>
      <c r="R82">
        <v>3.0328789999999999</v>
      </c>
      <c r="S82">
        <v>7.3847459999999998</v>
      </c>
      <c r="T82" t="s">
        <v>137</v>
      </c>
      <c r="U82" t="s">
        <v>137</v>
      </c>
      <c r="V82" t="s">
        <v>137</v>
      </c>
      <c r="W82" t="s">
        <v>137</v>
      </c>
      <c r="X82" t="s">
        <v>137</v>
      </c>
      <c r="Y82">
        <v>29.11</v>
      </c>
      <c r="Z82">
        <v>70.89</v>
      </c>
      <c r="AA82" t="s">
        <v>137</v>
      </c>
      <c r="AB82" t="s">
        <v>137</v>
      </c>
      <c r="AC82" t="s">
        <v>137</v>
      </c>
      <c r="AD82" t="s">
        <v>137</v>
      </c>
      <c r="AE82" t="s">
        <v>137</v>
      </c>
    </row>
    <row r="83" spans="1:31" x14ac:dyDescent="0.3">
      <c r="A83" t="s">
        <v>87</v>
      </c>
      <c r="B83">
        <v>10</v>
      </c>
      <c r="C83" t="s">
        <v>137</v>
      </c>
      <c r="D83" t="s">
        <v>137</v>
      </c>
      <c r="E83" t="s">
        <v>137</v>
      </c>
      <c r="F83">
        <v>0.9</v>
      </c>
      <c r="G83">
        <v>0.9</v>
      </c>
      <c r="H83">
        <v>5.0000000000000001E-3</v>
      </c>
      <c r="I83">
        <v>120</v>
      </c>
      <c r="J83">
        <v>88</v>
      </c>
      <c r="K83">
        <v>4.8372130000000002</v>
      </c>
      <c r="L83">
        <v>9.7784569999999995</v>
      </c>
      <c r="M83">
        <v>256.93</v>
      </c>
      <c r="N83" t="s">
        <v>137</v>
      </c>
      <c r="O83" t="s">
        <v>137</v>
      </c>
      <c r="P83">
        <v>6.0039999999999998E-3</v>
      </c>
      <c r="Q83">
        <v>2.5262519999999999</v>
      </c>
      <c r="R83">
        <v>2.5322559999999998</v>
      </c>
      <c r="S83">
        <v>2.3049569999999999</v>
      </c>
      <c r="T83" t="s">
        <v>137</v>
      </c>
      <c r="U83" t="s">
        <v>137</v>
      </c>
      <c r="V83" t="s">
        <v>137</v>
      </c>
      <c r="W83" t="s">
        <v>137</v>
      </c>
      <c r="X83" t="s">
        <v>137</v>
      </c>
      <c r="Y83">
        <v>52.35</v>
      </c>
      <c r="Z83">
        <v>47.65</v>
      </c>
      <c r="AA83" t="s">
        <v>137</v>
      </c>
      <c r="AB83" t="s">
        <v>137</v>
      </c>
      <c r="AC83" t="s">
        <v>137</v>
      </c>
      <c r="AD83" t="s">
        <v>137</v>
      </c>
      <c r="AE83" t="s">
        <v>137</v>
      </c>
    </row>
    <row r="84" spans="1:31" x14ac:dyDescent="0.3">
      <c r="A84" t="s">
        <v>88</v>
      </c>
      <c r="B84">
        <v>10</v>
      </c>
      <c r="C84" t="s">
        <v>137</v>
      </c>
      <c r="D84" t="s">
        <v>137</v>
      </c>
      <c r="E84" t="s">
        <v>137</v>
      </c>
      <c r="F84">
        <v>0.9</v>
      </c>
      <c r="G84">
        <v>0.9</v>
      </c>
      <c r="H84">
        <v>5.0000000000000001E-3</v>
      </c>
      <c r="I84">
        <v>120</v>
      </c>
      <c r="J84">
        <v>82</v>
      </c>
      <c r="K84">
        <v>14.805918</v>
      </c>
      <c r="L84">
        <v>23.516273000000002</v>
      </c>
      <c r="M84">
        <v>654.15</v>
      </c>
      <c r="N84" t="s">
        <v>137</v>
      </c>
      <c r="O84" t="s">
        <v>137</v>
      </c>
      <c r="P84">
        <v>6.4710000000000002E-3</v>
      </c>
      <c r="Q84">
        <v>5.6597900000000001</v>
      </c>
      <c r="R84">
        <v>5.6662610000000004</v>
      </c>
      <c r="S84">
        <v>9.1396569999999997</v>
      </c>
      <c r="T84" t="s">
        <v>137</v>
      </c>
      <c r="U84" t="s">
        <v>137</v>
      </c>
      <c r="V84" t="s">
        <v>137</v>
      </c>
      <c r="W84" t="s">
        <v>137</v>
      </c>
      <c r="X84" t="s">
        <v>137</v>
      </c>
      <c r="Y84">
        <v>38.270000000000003</v>
      </c>
      <c r="Z84">
        <v>61.73</v>
      </c>
      <c r="AA84" t="s">
        <v>137</v>
      </c>
      <c r="AB84" t="s">
        <v>137</v>
      </c>
      <c r="AC84" t="s">
        <v>137</v>
      </c>
      <c r="AD84" t="s">
        <v>137</v>
      </c>
      <c r="AE84" t="s">
        <v>137</v>
      </c>
    </row>
    <row r="85" spans="1:31" x14ac:dyDescent="0.3">
      <c r="A85" t="s">
        <v>89</v>
      </c>
      <c r="B85">
        <v>10</v>
      </c>
      <c r="C85" t="s">
        <v>137</v>
      </c>
      <c r="D85" t="s">
        <v>137</v>
      </c>
      <c r="E85" t="s">
        <v>137</v>
      </c>
      <c r="F85">
        <v>0.9</v>
      </c>
      <c r="G85">
        <v>0.9</v>
      </c>
      <c r="H85">
        <v>5.0000000000000001E-3</v>
      </c>
      <c r="I85">
        <v>120</v>
      </c>
      <c r="J85">
        <v>90</v>
      </c>
      <c r="K85">
        <v>4.0619509999999996</v>
      </c>
      <c r="L85">
        <v>9.6666629999999998</v>
      </c>
      <c r="M85">
        <v>227.47</v>
      </c>
      <c r="N85" t="s">
        <v>137</v>
      </c>
      <c r="O85" t="s">
        <v>137</v>
      </c>
      <c r="P85">
        <v>6.1110000000000001E-3</v>
      </c>
      <c r="Q85">
        <v>2.106579</v>
      </c>
      <c r="R85">
        <v>2.1126900000000002</v>
      </c>
      <c r="S85">
        <v>1.9492609999999999</v>
      </c>
      <c r="T85" t="s">
        <v>137</v>
      </c>
      <c r="U85" t="s">
        <v>137</v>
      </c>
      <c r="V85" t="s">
        <v>137</v>
      </c>
      <c r="W85" t="s">
        <v>137</v>
      </c>
      <c r="X85" t="s">
        <v>137</v>
      </c>
      <c r="Y85">
        <v>52.01</v>
      </c>
      <c r="Z85">
        <v>47.99</v>
      </c>
      <c r="AA85" t="s">
        <v>137</v>
      </c>
      <c r="AB85" t="s">
        <v>137</v>
      </c>
      <c r="AC85" t="s">
        <v>137</v>
      </c>
      <c r="AD85" t="s">
        <v>137</v>
      </c>
      <c r="AE85" t="s">
        <v>137</v>
      </c>
    </row>
    <row r="86" spans="1:31" x14ac:dyDescent="0.3">
      <c r="A86" t="s">
        <v>90</v>
      </c>
      <c r="B86">
        <v>10</v>
      </c>
      <c r="C86" t="s">
        <v>137</v>
      </c>
      <c r="D86" t="s">
        <v>137</v>
      </c>
      <c r="E86" t="s">
        <v>137</v>
      </c>
      <c r="F86">
        <v>0.9</v>
      </c>
      <c r="G86">
        <v>0.9</v>
      </c>
      <c r="H86">
        <v>5.0000000000000001E-3</v>
      </c>
      <c r="I86">
        <v>120</v>
      </c>
      <c r="J86">
        <v>78</v>
      </c>
      <c r="K86">
        <v>12.406715999999999</v>
      </c>
      <c r="L86">
        <v>22.716678000000002</v>
      </c>
      <c r="M86">
        <v>577.85</v>
      </c>
      <c r="N86" t="s">
        <v>137</v>
      </c>
      <c r="O86" t="s">
        <v>137</v>
      </c>
      <c r="P86">
        <v>5.7670000000000004E-3</v>
      </c>
      <c r="Q86">
        <v>4.678166</v>
      </c>
      <c r="R86">
        <v>4.6839329999999997</v>
      </c>
      <c r="S86">
        <v>7.7227839999999999</v>
      </c>
      <c r="T86" t="s">
        <v>137</v>
      </c>
      <c r="U86" t="s">
        <v>137</v>
      </c>
      <c r="V86" t="s">
        <v>137</v>
      </c>
      <c r="W86" t="s">
        <v>137</v>
      </c>
      <c r="X86" t="s">
        <v>137</v>
      </c>
      <c r="Y86">
        <v>37.75</v>
      </c>
      <c r="Z86">
        <v>62.25</v>
      </c>
      <c r="AA86" t="s">
        <v>137</v>
      </c>
      <c r="AB86" t="s">
        <v>137</v>
      </c>
      <c r="AC86" t="s">
        <v>137</v>
      </c>
      <c r="AD86" t="s">
        <v>137</v>
      </c>
      <c r="AE86" t="s">
        <v>137</v>
      </c>
    </row>
    <row r="87" spans="1:31" x14ac:dyDescent="0.3">
      <c r="A87" t="s">
        <v>91</v>
      </c>
      <c r="B87">
        <v>10</v>
      </c>
      <c r="C87" t="s">
        <v>137</v>
      </c>
      <c r="D87" t="s">
        <v>137</v>
      </c>
      <c r="E87" t="s">
        <v>137</v>
      </c>
      <c r="F87">
        <v>0.9</v>
      </c>
      <c r="G87">
        <v>0.9</v>
      </c>
      <c r="H87">
        <v>5.0000000000000001E-3</v>
      </c>
      <c r="I87">
        <v>120</v>
      </c>
      <c r="J87">
        <v>41</v>
      </c>
      <c r="K87">
        <v>17.740870000000001</v>
      </c>
      <c r="L87">
        <v>30.912541000000001</v>
      </c>
      <c r="M87">
        <v>921.05</v>
      </c>
      <c r="N87" t="s">
        <v>137</v>
      </c>
      <c r="O87" t="s">
        <v>137</v>
      </c>
      <c r="P87">
        <v>5.7530000000000003E-3</v>
      </c>
      <c r="Q87">
        <v>5.3110080000000002</v>
      </c>
      <c r="R87">
        <v>5.3167609999999996</v>
      </c>
      <c r="S87">
        <v>12.424109</v>
      </c>
      <c r="T87" t="s">
        <v>137</v>
      </c>
      <c r="U87" t="s">
        <v>137</v>
      </c>
      <c r="V87" t="s">
        <v>137</v>
      </c>
      <c r="W87" t="s">
        <v>137</v>
      </c>
      <c r="X87" t="s">
        <v>137</v>
      </c>
      <c r="Y87">
        <v>29.97</v>
      </c>
      <c r="Z87">
        <v>70.03</v>
      </c>
      <c r="AA87" t="s">
        <v>137</v>
      </c>
      <c r="AB87" t="s">
        <v>137</v>
      </c>
      <c r="AC87" t="s">
        <v>137</v>
      </c>
      <c r="AD87" t="s">
        <v>137</v>
      </c>
      <c r="AE87" t="s">
        <v>137</v>
      </c>
    </row>
    <row r="88" spans="1:31" x14ac:dyDescent="0.3">
      <c r="A88" t="s">
        <v>92</v>
      </c>
      <c r="B88">
        <v>10</v>
      </c>
      <c r="C88" t="s">
        <v>137</v>
      </c>
      <c r="D88" t="s">
        <v>137</v>
      </c>
      <c r="E88" t="s">
        <v>137</v>
      </c>
      <c r="F88">
        <v>0.9</v>
      </c>
      <c r="G88">
        <v>0.9</v>
      </c>
      <c r="H88">
        <v>5.0000000000000001E-3</v>
      </c>
      <c r="I88">
        <v>120</v>
      </c>
      <c r="J88">
        <v>58</v>
      </c>
      <c r="K88">
        <v>14.043323000000001</v>
      </c>
      <c r="L88">
        <v>23.362200999999999</v>
      </c>
      <c r="M88">
        <v>689.45</v>
      </c>
      <c r="N88" t="s">
        <v>137</v>
      </c>
      <c r="O88" t="s">
        <v>137</v>
      </c>
      <c r="P88">
        <v>6.0140000000000002E-3</v>
      </c>
      <c r="Q88">
        <v>5.525722</v>
      </c>
      <c r="R88">
        <v>5.5317369999999997</v>
      </c>
      <c r="S88">
        <v>8.5115859999999994</v>
      </c>
      <c r="T88" t="s">
        <v>137</v>
      </c>
      <c r="U88" t="s">
        <v>137</v>
      </c>
      <c r="V88" t="s">
        <v>137</v>
      </c>
      <c r="W88" t="s">
        <v>137</v>
      </c>
      <c r="X88" t="s">
        <v>137</v>
      </c>
      <c r="Y88">
        <v>39.39</v>
      </c>
      <c r="Z88">
        <v>60.61</v>
      </c>
      <c r="AA88" t="s">
        <v>137</v>
      </c>
      <c r="AB88" t="s">
        <v>137</v>
      </c>
      <c r="AC88" t="s">
        <v>137</v>
      </c>
      <c r="AD88" t="s">
        <v>137</v>
      </c>
      <c r="AE88" t="s">
        <v>137</v>
      </c>
    </row>
    <row r="89" spans="1:31" x14ac:dyDescent="0.3">
      <c r="A89" t="s">
        <v>93</v>
      </c>
      <c r="B89">
        <v>10</v>
      </c>
      <c r="C89" t="s">
        <v>137</v>
      </c>
      <c r="D89" t="s">
        <v>137</v>
      </c>
      <c r="E89" t="s">
        <v>137</v>
      </c>
      <c r="F89">
        <v>0.9</v>
      </c>
      <c r="G89">
        <v>0.9</v>
      </c>
      <c r="H89">
        <v>5.0000000000000001E-3</v>
      </c>
      <c r="I89">
        <v>120</v>
      </c>
      <c r="J89">
        <v>74</v>
      </c>
      <c r="K89">
        <v>14.312984999999999</v>
      </c>
      <c r="L89">
        <v>24.102336000000001</v>
      </c>
      <c r="M89">
        <v>976.65</v>
      </c>
      <c r="N89" t="s">
        <v>137</v>
      </c>
      <c r="O89" t="s">
        <v>137</v>
      </c>
      <c r="P89">
        <v>6.4489999999999999E-3</v>
      </c>
      <c r="Q89">
        <v>5.3035449999999997</v>
      </c>
      <c r="R89">
        <v>5.3099939999999997</v>
      </c>
      <c r="S89">
        <v>9.0029920000000008</v>
      </c>
      <c r="T89" t="s">
        <v>137</v>
      </c>
      <c r="U89" t="s">
        <v>137</v>
      </c>
      <c r="V89" t="s">
        <v>137</v>
      </c>
      <c r="W89" t="s">
        <v>137</v>
      </c>
      <c r="X89" t="s">
        <v>137</v>
      </c>
      <c r="Y89">
        <v>37.1</v>
      </c>
      <c r="Z89">
        <v>62.9</v>
      </c>
      <c r="AA89" t="s">
        <v>137</v>
      </c>
      <c r="AB89" t="s">
        <v>137</v>
      </c>
      <c r="AC89" t="s">
        <v>137</v>
      </c>
      <c r="AD89" t="s">
        <v>137</v>
      </c>
      <c r="AE89" t="s">
        <v>137</v>
      </c>
    </row>
    <row r="90" spans="1:31" x14ac:dyDescent="0.3">
      <c r="A90" t="s">
        <v>94</v>
      </c>
      <c r="B90">
        <v>10</v>
      </c>
      <c r="C90" t="s">
        <v>137</v>
      </c>
      <c r="D90" t="s">
        <v>137</v>
      </c>
      <c r="E90" t="s">
        <v>137</v>
      </c>
      <c r="F90">
        <v>0.9</v>
      </c>
      <c r="G90">
        <v>0.9</v>
      </c>
      <c r="H90">
        <v>5.0000000000000001E-3</v>
      </c>
      <c r="I90">
        <v>120</v>
      </c>
      <c r="J90">
        <v>59</v>
      </c>
      <c r="K90">
        <v>7.5964039999999997</v>
      </c>
      <c r="L90">
        <v>18.079874</v>
      </c>
      <c r="M90">
        <v>454.29</v>
      </c>
      <c r="N90" t="s">
        <v>137</v>
      </c>
      <c r="O90" t="s">
        <v>137</v>
      </c>
      <c r="P90">
        <v>6.2579999999999997E-3</v>
      </c>
      <c r="Q90">
        <v>2.9499590000000002</v>
      </c>
      <c r="R90">
        <v>2.9562170000000001</v>
      </c>
      <c r="S90">
        <v>4.6401870000000001</v>
      </c>
      <c r="T90" t="s">
        <v>137</v>
      </c>
      <c r="U90" t="s">
        <v>137</v>
      </c>
      <c r="V90" t="s">
        <v>137</v>
      </c>
      <c r="W90" t="s">
        <v>137</v>
      </c>
      <c r="X90" t="s">
        <v>137</v>
      </c>
      <c r="Y90">
        <v>38.92</v>
      </c>
      <c r="Z90">
        <v>61.08</v>
      </c>
      <c r="AA90" t="s">
        <v>137</v>
      </c>
      <c r="AB90" t="s">
        <v>137</v>
      </c>
      <c r="AC90" t="s">
        <v>137</v>
      </c>
      <c r="AD90" t="s">
        <v>137</v>
      </c>
      <c r="AE90" t="s">
        <v>137</v>
      </c>
    </row>
    <row r="91" spans="1:31" x14ac:dyDescent="0.3">
      <c r="A91" t="s">
        <v>95</v>
      </c>
      <c r="B91">
        <v>10</v>
      </c>
      <c r="C91" t="s">
        <v>137</v>
      </c>
      <c r="D91" t="s">
        <v>137</v>
      </c>
      <c r="E91" t="s">
        <v>137</v>
      </c>
      <c r="F91">
        <v>0.9</v>
      </c>
      <c r="G91">
        <v>0.9</v>
      </c>
      <c r="H91">
        <v>5.0000000000000001E-3</v>
      </c>
      <c r="I91">
        <v>120</v>
      </c>
      <c r="J91">
        <v>88</v>
      </c>
      <c r="K91">
        <v>7.0089480000000002</v>
      </c>
      <c r="L91">
        <v>17.853907</v>
      </c>
      <c r="M91">
        <v>365.39</v>
      </c>
      <c r="N91" t="s">
        <v>137</v>
      </c>
      <c r="O91" t="s">
        <v>137</v>
      </c>
      <c r="P91">
        <v>6.7479999999999997E-3</v>
      </c>
      <c r="Q91">
        <v>2.7754289999999999</v>
      </c>
      <c r="R91">
        <v>2.7821769999999999</v>
      </c>
      <c r="S91">
        <v>4.2267700000000001</v>
      </c>
      <c r="T91" t="s">
        <v>137</v>
      </c>
      <c r="U91" t="s">
        <v>137</v>
      </c>
      <c r="V91" t="s">
        <v>137</v>
      </c>
      <c r="W91" t="s">
        <v>137</v>
      </c>
      <c r="X91" t="s">
        <v>137</v>
      </c>
      <c r="Y91">
        <v>39.69</v>
      </c>
      <c r="Z91">
        <v>60.31</v>
      </c>
      <c r="AA91" t="s">
        <v>137</v>
      </c>
      <c r="AB91" t="s">
        <v>137</v>
      </c>
      <c r="AC91" t="s">
        <v>137</v>
      </c>
      <c r="AD91" t="s">
        <v>137</v>
      </c>
      <c r="AE91" t="s">
        <v>137</v>
      </c>
    </row>
    <row r="92" spans="1:31" x14ac:dyDescent="0.3">
      <c r="A92" t="s">
        <v>96</v>
      </c>
      <c r="B92">
        <v>10</v>
      </c>
      <c r="C92" t="s">
        <v>137</v>
      </c>
      <c r="D92" t="s">
        <v>137</v>
      </c>
      <c r="E92" t="s">
        <v>137</v>
      </c>
      <c r="F92">
        <v>0.9</v>
      </c>
      <c r="G92">
        <v>0.9</v>
      </c>
      <c r="H92">
        <v>5.0000000000000001E-3</v>
      </c>
      <c r="I92">
        <v>120</v>
      </c>
      <c r="J92">
        <v>72</v>
      </c>
      <c r="K92">
        <v>3.5508869999999999</v>
      </c>
      <c r="L92">
        <v>15.075018999999999</v>
      </c>
      <c r="M92">
        <v>228.46</v>
      </c>
      <c r="N92" t="s">
        <v>137</v>
      </c>
      <c r="O92" t="s">
        <v>137</v>
      </c>
      <c r="P92">
        <v>6.3550000000000004E-3</v>
      </c>
      <c r="Q92">
        <v>1.340376</v>
      </c>
      <c r="R92">
        <v>1.3467309999999999</v>
      </c>
      <c r="S92">
        <v>2.2041569999999999</v>
      </c>
      <c r="T92" t="s">
        <v>137</v>
      </c>
      <c r="U92" t="s">
        <v>137</v>
      </c>
      <c r="V92" t="s">
        <v>137</v>
      </c>
      <c r="W92" t="s">
        <v>137</v>
      </c>
      <c r="X92" t="s">
        <v>137</v>
      </c>
      <c r="Y92">
        <v>37.93</v>
      </c>
      <c r="Z92">
        <v>62.07</v>
      </c>
      <c r="AA92" t="s">
        <v>137</v>
      </c>
      <c r="AB92" t="s">
        <v>137</v>
      </c>
      <c r="AC92" t="s">
        <v>137</v>
      </c>
      <c r="AD92" t="s">
        <v>137</v>
      </c>
      <c r="AE92" t="s">
        <v>137</v>
      </c>
    </row>
    <row r="93" spans="1:31" x14ac:dyDescent="0.3">
      <c r="A93" t="s">
        <v>97</v>
      </c>
      <c r="B93">
        <v>10</v>
      </c>
      <c r="C93" t="s">
        <v>137</v>
      </c>
      <c r="D93" t="s">
        <v>137</v>
      </c>
      <c r="E93" t="s">
        <v>137</v>
      </c>
      <c r="F93">
        <v>0.9</v>
      </c>
      <c r="G93">
        <v>0.9</v>
      </c>
      <c r="H93">
        <v>5.0000000000000001E-3</v>
      </c>
      <c r="I93">
        <v>120</v>
      </c>
      <c r="J93">
        <v>86</v>
      </c>
      <c r="K93">
        <v>3.23421</v>
      </c>
      <c r="L93">
        <v>7.541639</v>
      </c>
      <c r="M93">
        <v>196.74</v>
      </c>
      <c r="N93" t="s">
        <v>137</v>
      </c>
      <c r="O93" t="s">
        <v>137</v>
      </c>
      <c r="P93">
        <v>6.1409999999999998E-3</v>
      </c>
      <c r="Q93">
        <v>1.8921790000000001</v>
      </c>
      <c r="R93">
        <v>1.89832</v>
      </c>
      <c r="S93">
        <v>1.33589</v>
      </c>
      <c r="T93" t="s">
        <v>137</v>
      </c>
      <c r="U93" t="s">
        <v>137</v>
      </c>
      <c r="V93" t="s">
        <v>137</v>
      </c>
      <c r="W93" t="s">
        <v>137</v>
      </c>
      <c r="X93" t="s">
        <v>137</v>
      </c>
      <c r="Y93">
        <v>58.7</v>
      </c>
      <c r="Z93">
        <v>41.3</v>
      </c>
      <c r="AA93" t="s">
        <v>137</v>
      </c>
      <c r="AB93" t="s">
        <v>137</v>
      </c>
      <c r="AC93" t="s">
        <v>137</v>
      </c>
      <c r="AD93" t="s">
        <v>137</v>
      </c>
      <c r="AE93" t="s">
        <v>137</v>
      </c>
    </row>
    <row r="94" spans="1:31" x14ac:dyDescent="0.3">
      <c r="A94" t="s">
        <v>98</v>
      </c>
      <c r="B94">
        <v>10</v>
      </c>
      <c r="C94" t="s">
        <v>137</v>
      </c>
      <c r="D94" t="s">
        <v>137</v>
      </c>
      <c r="E94" t="s">
        <v>137</v>
      </c>
      <c r="F94">
        <v>0.9</v>
      </c>
      <c r="G94">
        <v>0.9</v>
      </c>
      <c r="H94">
        <v>5.0000000000000001E-3</v>
      </c>
      <c r="I94">
        <v>120</v>
      </c>
      <c r="J94">
        <v>69</v>
      </c>
      <c r="K94">
        <v>4.3950699999999996</v>
      </c>
      <c r="L94">
        <v>12.187194999999999</v>
      </c>
      <c r="M94">
        <v>249.58</v>
      </c>
      <c r="N94" t="s">
        <v>137</v>
      </c>
      <c r="O94" t="s">
        <v>137</v>
      </c>
      <c r="P94">
        <v>5.4320000000000002E-3</v>
      </c>
      <c r="Q94">
        <v>1.973679</v>
      </c>
      <c r="R94">
        <v>1.9791110000000001</v>
      </c>
      <c r="S94">
        <v>2.415959</v>
      </c>
      <c r="T94" t="s">
        <v>137</v>
      </c>
      <c r="U94" t="s">
        <v>137</v>
      </c>
      <c r="V94" t="s">
        <v>137</v>
      </c>
      <c r="W94" t="s">
        <v>137</v>
      </c>
      <c r="X94" t="s">
        <v>137</v>
      </c>
      <c r="Y94">
        <v>45.03</v>
      </c>
      <c r="Z94">
        <v>54.97</v>
      </c>
      <c r="AA94" t="s">
        <v>137</v>
      </c>
      <c r="AB94" t="s">
        <v>137</v>
      </c>
      <c r="AC94" t="s">
        <v>137</v>
      </c>
      <c r="AD94" t="s">
        <v>137</v>
      </c>
      <c r="AE94" t="s">
        <v>137</v>
      </c>
    </row>
    <row r="95" spans="1:31" x14ac:dyDescent="0.3">
      <c r="A95" t="s">
        <v>99</v>
      </c>
      <c r="B95">
        <v>10</v>
      </c>
      <c r="C95" t="s">
        <v>137</v>
      </c>
      <c r="D95" t="s">
        <v>137</v>
      </c>
      <c r="E95" t="s">
        <v>137</v>
      </c>
      <c r="F95">
        <v>0.9</v>
      </c>
      <c r="G95">
        <v>0.9</v>
      </c>
      <c r="H95">
        <v>5.0000000000000001E-3</v>
      </c>
      <c r="I95">
        <v>120</v>
      </c>
      <c r="J95">
        <v>77</v>
      </c>
      <c r="K95">
        <v>4.3819790000000003</v>
      </c>
      <c r="L95">
        <v>10.758867</v>
      </c>
      <c r="M95">
        <v>298.73</v>
      </c>
      <c r="N95" t="s">
        <v>137</v>
      </c>
      <c r="O95" t="s">
        <v>137</v>
      </c>
      <c r="P95">
        <v>6.4429999999999999E-3</v>
      </c>
      <c r="Q95">
        <v>2.1667190000000001</v>
      </c>
      <c r="R95">
        <v>2.173162</v>
      </c>
      <c r="S95">
        <v>2.2088169999999998</v>
      </c>
      <c r="T95" t="s">
        <v>137</v>
      </c>
      <c r="U95" t="s">
        <v>137</v>
      </c>
      <c r="V95" t="s">
        <v>137</v>
      </c>
      <c r="W95" t="s">
        <v>137</v>
      </c>
      <c r="X95" t="s">
        <v>137</v>
      </c>
      <c r="Y95">
        <v>49.59</v>
      </c>
      <c r="Z95">
        <v>50.41</v>
      </c>
      <c r="AA95" t="s">
        <v>137</v>
      </c>
      <c r="AB95" t="s">
        <v>137</v>
      </c>
      <c r="AC95" t="s">
        <v>137</v>
      </c>
      <c r="AD95" t="s">
        <v>137</v>
      </c>
      <c r="AE95" t="s">
        <v>137</v>
      </c>
    </row>
    <row r="96" spans="1:31" x14ac:dyDescent="0.3">
      <c r="A96" t="s">
        <v>100</v>
      </c>
      <c r="B96">
        <v>10</v>
      </c>
      <c r="C96" t="s">
        <v>137</v>
      </c>
      <c r="D96" t="s">
        <v>137</v>
      </c>
      <c r="E96" t="s">
        <v>137</v>
      </c>
      <c r="F96">
        <v>0.9</v>
      </c>
      <c r="G96">
        <v>0.9</v>
      </c>
      <c r="H96">
        <v>5.0000000000000001E-3</v>
      </c>
      <c r="I96">
        <v>120</v>
      </c>
      <c r="J96">
        <v>77</v>
      </c>
      <c r="K96">
        <v>18.860821999999999</v>
      </c>
      <c r="L96">
        <v>24.584129000000001</v>
      </c>
      <c r="M96">
        <v>1015.56</v>
      </c>
      <c r="N96" t="s">
        <v>137</v>
      </c>
      <c r="O96" t="s">
        <v>137</v>
      </c>
      <c r="P96">
        <v>7.1609999999999998E-3</v>
      </c>
      <c r="Q96">
        <v>7.4734420000000004</v>
      </c>
      <c r="R96">
        <v>7.4806030000000003</v>
      </c>
      <c r="S96">
        <v>11.38022</v>
      </c>
      <c r="T96" t="s">
        <v>137</v>
      </c>
      <c r="U96" t="s">
        <v>137</v>
      </c>
      <c r="V96" t="s">
        <v>137</v>
      </c>
      <c r="W96" t="s">
        <v>137</v>
      </c>
      <c r="X96" t="s">
        <v>137</v>
      </c>
      <c r="Y96">
        <v>39.659999999999997</v>
      </c>
      <c r="Z96">
        <v>60.34</v>
      </c>
      <c r="AA96" t="s">
        <v>137</v>
      </c>
      <c r="AB96" t="s">
        <v>137</v>
      </c>
      <c r="AC96" t="s">
        <v>137</v>
      </c>
      <c r="AD96" t="s">
        <v>137</v>
      </c>
      <c r="AE96" t="s">
        <v>137</v>
      </c>
    </row>
    <row r="97" spans="1:31" x14ac:dyDescent="0.3">
      <c r="A97" t="s">
        <v>101</v>
      </c>
      <c r="B97">
        <v>10</v>
      </c>
      <c r="C97" t="s">
        <v>137</v>
      </c>
      <c r="D97" t="s">
        <v>137</v>
      </c>
      <c r="E97" t="s">
        <v>137</v>
      </c>
      <c r="F97">
        <v>0.9</v>
      </c>
      <c r="G97">
        <v>0.9</v>
      </c>
      <c r="H97">
        <v>5.0000000000000001E-3</v>
      </c>
      <c r="I97">
        <v>120</v>
      </c>
      <c r="J97">
        <v>41</v>
      </c>
      <c r="K97">
        <v>6.579447</v>
      </c>
      <c r="L97">
        <v>17.291771000000001</v>
      </c>
      <c r="M97">
        <v>350.41</v>
      </c>
      <c r="N97" t="s">
        <v>137</v>
      </c>
      <c r="O97" t="s">
        <v>137</v>
      </c>
      <c r="P97">
        <v>5.9630000000000004E-3</v>
      </c>
      <c r="Q97">
        <v>2.5767319999999998</v>
      </c>
      <c r="R97">
        <v>2.5826950000000002</v>
      </c>
      <c r="S97">
        <v>3.9967519999999999</v>
      </c>
      <c r="T97" t="s">
        <v>137</v>
      </c>
      <c r="U97" t="s">
        <v>137</v>
      </c>
      <c r="V97" t="s">
        <v>137</v>
      </c>
      <c r="W97" t="s">
        <v>137</v>
      </c>
      <c r="X97" t="s">
        <v>137</v>
      </c>
      <c r="Y97">
        <v>39.25</v>
      </c>
      <c r="Z97">
        <v>60.75</v>
      </c>
      <c r="AA97" t="s">
        <v>137</v>
      </c>
      <c r="AB97" t="s">
        <v>137</v>
      </c>
      <c r="AC97" t="s">
        <v>137</v>
      </c>
      <c r="AD97" t="s">
        <v>137</v>
      </c>
      <c r="AE97" t="s">
        <v>137</v>
      </c>
    </row>
    <row r="98" spans="1:31" x14ac:dyDescent="0.3">
      <c r="A98" t="s">
        <v>102</v>
      </c>
      <c r="B98">
        <v>10</v>
      </c>
      <c r="C98" t="s">
        <v>137</v>
      </c>
      <c r="D98" t="s">
        <v>137</v>
      </c>
      <c r="E98" t="s">
        <v>137</v>
      </c>
      <c r="F98">
        <v>0.9</v>
      </c>
      <c r="G98">
        <v>0.9</v>
      </c>
      <c r="H98">
        <v>5.0000000000000001E-3</v>
      </c>
      <c r="I98">
        <v>120</v>
      </c>
      <c r="J98">
        <v>90</v>
      </c>
      <c r="K98">
        <v>0.73891399999999996</v>
      </c>
      <c r="L98">
        <v>4.4223249999999998</v>
      </c>
      <c r="M98">
        <v>54.31</v>
      </c>
      <c r="N98" t="s">
        <v>137</v>
      </c>
      <c r="O98" t="s">
        <v>137</v>
      </c>
      <c r="P98">
        <v>6.4999999999999997E-3</v>
      </c>
      <c r="Q98">
        <v>0.37979400000000002</v>
      </c>
      <c r="R98">
        <v>0.38629400000000003</v>
      </c>
      <c r="S98">
        <v>0.35262100000000002</v>
      </c>
      <c r="T98" t="s">
        <v>137</v>
      </c>
      <c r="U98" t="s">
        <v>137</v>
      </c>
      <c r="V98" t="s">
        <v>137</v>
      </c>
      <c r="W98" t="s">
        <v>137</v>
      </c>
      <c r="X98" t="s">
        <v>137</v>
      </c>
      <c r="Y98">
        <v>52.28</v>
      </c>
      <c r="Z98">
        <v>47.72</v>
      </c>
      <c r="AA98" t="s">
        <v>137</v>
      </c>
      <c r="AB98" t="s">
        <v>137</v>
      </c>
      <c r="AC98" t="s">
        <v>137</v>
      </c>
      <c r="AD98" t="s">
        <v>137</v>
      </c>
      <c r="AE98" t="s">
        <v>137</v>
      </c>
    </row>
    <row r="99" spans="1:31" x14ac:dyDescent="0.3">
      <c r="A99" t="s">
        <v>103</v>
      </c>
      <c r="B99">
        <v>10</v>
      </c>
      <c r="C99" t="s">
        <v>137</v>
      </c>
      <c r="D99" t="s">
        <v>137</v>
      </c>
      <c r="E99" t="s">
        <v>137</v>
      </c>
      <c r="F99">
        <v>0.9</v>
      </c>
      <c r="G99">
        <v>0.9</v>
      </c>
      <c r="H99">
        <v>5.0000000000000001E-3</v>
      </c>
      <c r="I99">
        <v>120</v>
      </c>
      <c r="J99">
        <v>55</v>
      </c>
      <c r="K99">
        <v>9.8197930000000007</v>
      </c>
      <c r="L99">
        <v>20.807158000000001</v>
      </c>
      <c r="M99">
        <v>556.62</v>
      </c>
      <c r="N99" t="s">
        <v>137</v>
      </c>
      <c r="O99" t="s">
        <v>137</v>
      </c>
      <c r="P99">
        <v>6.5069999999999998E-3</v>
      </c>
      <c r="Q99">
        <v>3.6901920000000001</v>
      </c>
      <c r="R99">
        <v>3.6966990000000002</v>
      </c>
      <c r="S99">
        <v>6.1230929999999999</v>
      </c>
      <c r="T99" t="s">
        <v>137</v>
      </c>
      <c r="U99" t="s">
        <v>137</v>
      </c>
      <c r="V99" t="s">
        <v>137</v>
      </c>
      <c r="W99" t="s">
        <v>137</v>
      </c>
      <c r="X99" t="s">
        <v>137</v>
      </c>
      <c r="Y99">
        <v>37.65</v>
      </c>
      <c r="Z99">
        <v>62.35</v>
      </c>
      <c r="AA99" t="s">
        <v>137</v>
      </c>
      <c r="AB99" t="s">
        <v>137</v>
      </c>
      <c r="AC99" t="s">
        <v>137</v>
      </c>
      <c r="AD99" t="s">
        <v>137</v>
      </c>
      <c r="AE99" t="s">
        <v>137</v>
      </c>
    </row>
    <row r="100" spans="1:31" x14ac:dyDescent="0.3">
      <c r="A100" t="s">
        <v>104</v>
      </c>
      <c r="B100">
        <v>10</v>
      </c>
      <c r="C100" t="s">
        <v>137</v>
      </c>
      <c r="D100" t="s">
        <v>137</v>
      </c>
      <c r="E100" t="s">
        <v>137</v>
      </c>
      <c r="F100">
        <v>0.9</v>
      </c>
      <c r="G100">
        <v>0.9</v>
      </c>
      <c r="H100">
        <v>5.0000000000000001E-3</v>
      </c>
      <c r="I100">
        <v>120</v>
      </c>
      <c r="J100">
        <v>58</v>
      </c>
      <c r="K100">
        <v>10.047482</v>
      </c>
      <c r="L100">
        <v>19.745674000000001</v>
      </c>
      <c r="M100">
        <v>499.71</v>
      </c>
      <c r="N100" t="s">
        <v>137</v>
      </c>
      <c r="O100" t="s">
        <v>137</v>
      </c>
      <c r="P100">
        <v>5.5700000000000003E-3</v>
      </c>
      <c r="Q100">
        <v>3.8167620000000002</v>
      </c>
      <c r="R100">
        <v>3.8223310000000001</v>
      </c>
      <c r="S100">
        <v>6.2251510000000003</v>
      </c>
      <c r="T100" t="s">
        <v>137</v>
      </c>
      <c r="U100" t="s">
        <v>137</v>
      </c>
      <c r="V100" t="s">
        <v>137</v>
      </c>
      <c r="W100" t="s">
        <v>137</v>
      </c>
      <c r="X100" t="s">
        <v>137</v>
      </c>
      <c r="Y100">
        <v>38.04</v>
      </c>
      <c r="Z100">
        <v>61.96</v>
      </c>
      <c r="AA100" t="s">
        <v>137</v>
      </c>
      <c r="AB100" t="s">
        <v>137</v>
      </c>
      <c r="AC100" t="s">
        <v>137</v>
      </c>
      <c r="AD100" t="s">
        <v>137</v>
      </c>
      <c r="AE100" t="s">
        <v>137</v>
      </c>
    </row>
    <row r="101" spans="1:31" x14ac:dyDescent="0.3">
      <c r="A101" t="s">
        <v>105</v>
      </c>
      <c r="B101">
        <v>10</v>
      </c>
      <c r="C101" t="s">
        <v>137</v>
      </c>
      <c r="D101" t="s">
        <v>137</v>
      </c>
      <c r="E101" t="s">
        <v>137</v>
      </c>
      <c r="F101">
        <v>0.9</v>
      </c>
      <c r="G101">
        <v>0.9</v>
      </c>
      <c r="H101">
        <v>5.0000000000000001E-3</v>
      </c>
      <c r="I101">
        <v>120</v>
      </c>
      <c r="J101">
        <v>61</v>
      </c>
      <c r="K101">
        <v>9.556908</v>
      </c>
      <c r="L101">
        <v>22.460146999999999</v>
      </c>
      <c r="M101">
        <v>675</v>
      </c>
      <c r="N101" t="s">
        <v>137</v>
      </c>
      <c r="O101" t="s">
        <v>137</v>
      </c>
      <c r="P101">
        <v>5.3990000000000002E-3</v>
      </c>
      <c r="Q101">
        <v>2.9309829999999999</v>
      </c>
      <c r="R101">
        <v>2.936382</v>
      </c>
      <c r="S101">
        <v>6.6205259999999999</v>
      </c>
      <c r="T101" t="s">
        <v>137</v>
      </c>
      <c r="U101" t="s">
        <v>137</v>
      </c>
      <c r="V101" t="s">
        <v>137</v>
      </c>
      <c r="W101" t="s">
        <v>137</v>
      </c>
      <c r="X101" t="s">
        <v>137</v>
      </c>
      <c r="Y101">
        <v>30.73</v>
      </c>
      <c r="Z101">
        <v>69.27</v>
      </c>
      <c r="AA101" t="s">
        <v>137</v>
      </c>
      <c r="AB101" t="s">
        <v>137</v>
      </c>
      <c r="AC101" t="s">
        <v>137</v>
      </c>
      <c r="AD101" t="s">
        <v>137</v>
      </c>
      <c r="AE101" t="s">
        <v>137</v>
      </c>
    </row>
  </sheetData>
  <sortState xmlns:xlrd2="http://schemas.microsoft.com/office/spreadsheetml/2017/richdata2" ref="A2:AE101">
    <sortCondition ref="A1:A1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5B1F7-F694-4782-88E7-F505E581FD99}">
  <dimension ref="A1:AE101"/>
  <sheetViews>
    <sheetView workbookViewId="0">
      <selection sqref="A1:A1048576"/>
    </sheetView>
  </sheetViews>
  <sheetFormatPr defaultRowHeight="14.4" x14ac:dyDescent="0.3"/>
  <cols>
    <col min="1" max="1" width="18.77734375" customWidth="1"/>
    <col min="2" max="2" width="13.21875" customWidth="1"/>
    <col min="3" max="3" width="12.109375" customWidth="1"/>
    <col min="10" max="10" width="10.77734375" customWidth="1"/>
  </cols>
  <sheetData>
    <row r="1" spans="1:31" x14ac:dyDescent="0.3">
      <c r="A1" t="s">
        <v>106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  <c r="J1" t="s">
        <v>146</v>
      </c>
      <c r="K1" t="s">
        <v>147</v>
      </c>
      <c r="L1" t="s">
        <v>148</v>
      </c>
      <c r="M1" t="s">
        <v>149</v>
      </c>
      <c r="N1" t="s">
        <v>150</v>
      </c>
      <c r="O1" t="s">
        <v>151</v>
      </c>
      <c r="P1" t="s">
        <v>152</v>
      </c>
      <c r="Q1" t="s">
        <v>153</v>
      </c>
      <c r="R1" t="s">
        <v>154</v>
      </c>
      <c r="S1" t="s">
        <v>155</v>
      </c>
      <c r="T1" t="s">
        <v>156</v>
      </c>
      <c r="U1" t="s">
        <v>157</v>
      </c>
      <c r="V1" t="s">
        <v>158</v>
      </c>
      <c r="W1" t="s">
        <v>159</v>
      </c>
      <c r="X1" t="s">
        <v>160</v>
      </c>
      <c r="Y1" t="s">
        <v>161</v>
      </c>
      <c r="Z1" t="s">
        <v>162</v>
      </c>
      <c r="AA1" t="s">
        <v>163</v>
      </c>
      <c r="AB1" t="s">
        <v>164</v>
      </c>
      <c r="AC1" t="s">
        <v>165</v>
      </c>
      <c r="AD1" t="s">
        <v>166</v>
      </c>
      <c r="AE1" t="s">
        <v>167</v>
      </c>
    </row>
    <row r="2" spans="1:31" x14ac:dyDescent="0.3">
      <c r="A2" t="s">
        <v>6</v>
      </c>
      <c r="B2">
        <v>4</v>
      </c>
      <c r="C2" t="s">
        <v>137</v>
      </c>
      <c r="D2">
        <v>4</v>
      </c>
      <c r="E2">
        <v>3</v>
      </c>
      <c r="F2">
        <v>0.9</v>
      </c>
      <c r="G2">
        <v>0.9</v>
      </c>
      <c r="H2">
        <v>5.0000000000000001E-3</v>
      </c>
      <c r="I2">
        <v>120</v>
      </c>
      <c r="J2">
        <v>100</v>
      </c>
      <c r="K2">
        <v>4.1619809999999999</v>
      </c>
      <c r="L2">
        <v>2.9490210000000001</v>
      </c>
      <c r="M2">
        <v>71.42</v>
      </c>
      <c r="N2" t="s">
        <v>137</v>
      </c>
      <c r="O2" t="s">
        <v>137</v>
      </c>
      <c r="P2">
        <v>5.0930000000000003E-3</v>
      </c>
      <c r="Q2">
        <v>3.036365</v>
      </c>
      <c r="R2">
        <v>3.0414590000000001</v>
      </c>
      <c r="S2" t="s">
        <v>137</v>
      </c>
      <c r="T2">
        <v>1.120522</v>
      </c>
      <c r="U2">
        <v>2.4701000000000001E-2</v>
      </c>
      <c r="V2">
        <v>1.5299999999999999E-3</v>
      </c>
      <c r="W2">
        <v>1.0380000000000001E-3</v>
      </c>
      <c r="X2" t="s">
        <v>137</v>
      </c>
      <c r="Y2">
        <v>73.08</v>
      </c>
      <c r="Z2" t="s">
        <v>137</v>
      </c>
      <c r="AA2">
        <v>26.92</v>
      </c>
      <c r="AB2">
        <v>0.59</v>
      </c>
      <c r="AC2">
        <v>0.04</v>
      </c>
      <c r="AD2">
        <v>0.02</v>
      </c>
      <c r="AE2" t="s">
        <v>137</v>
      </c>
    </row>
    <row r="3" spans="1:31" x14ac:dyDescent="0.3">
      <c r="A3" t="s">
        <v>7</v>
      </c>
      <c r="B3">
        <v>4</v>
      </c>
      <c r="C3" t="s">
        <v>137</v>
      </c>
      <c r="D3">
        <v>4</v>
      </c>
      <c r="E3">
        <v>3</v>
      </c>
      <c r="F3">
        <v>0.9</v>
      </c>
      <c r="G3">
        <v>0.9</v>
      </c>
      <c r="H3">
        <v>5.0000000000000001E-3</v>
      </c>
      <c r="I3">
        <v>120</v>
      </c>
      <c r="J3">
        <v>100</v>
      </c>
      <c r="K3">
        <v>8.3678380000000008</v>
      </c>
      <c r="L3">
        <v>5.9555749999999996</v>
      </c>
      <c r="M3">
        <v>130.71</v>
      </c>
      <c r="N3" t="s">
        <v>137</v>
      </c>
      <c r="O3" t="s">
        <v>137</v>
      </c>
      <c r="P3">
        <v>5.3299999999999997E-3</v>
      </c>
      <c r="Q3">
        <v>5.7554179999999997</v>
      </c>
      <c r="R3">
        <v>5.7607470000000003</v>
      </c>
      <c r="S3" t="s">
        <v>137</v>
      </c>
      <c r="T3">
        <v>2.607091</v>
      </c>
      <c r="U3">
        <v>5.0953999999999999E-2</v>
      </c>
      <c r="V3">
        <v>1.818E-3</v>
      </c>
      <c r="W3">
        <v>2.1450000000000002E-3</v>
      </c>
      <c r="X3" t="s">
        <v>137</v>
      </c>
      <c r="Y3">
        <v>68.84</v>
      </c>
      <c r="Z3" t="s">
        <v>137</v>
      </c>
      <c r="AA3">
        <v>31.16</v>
      </c>
      <c r="AB3">
        <v>0.61</v>
      </c>
      <c r="AC3">
        <v>0.02</v>
      </c>
      <c r="AD3">
        <v>0.03</v>
      </c>
      <c r="AE3" t="s">
        <v>137</v>
      </c>
    </row>
    <row r="4" spans="1:31" x14ac:dyDescent="0.3">
      <c r="A4" t="s">
        <v>8</v>
      </c>
      <c r="B4">
        <v>4</v>
      </c>
      <c r="C4" t="s">
        <v>137</v>
      </c>
      <c r="D4">
        <v>4</v>
      </c>
      <c r="E4">
        <v>3</v>
      </c>
      <c r="F4">
        <v>0.9</v>
      </c>
      <c r="G4">
        <v>0.9</v>
      </c>
      <c r="H4">
        <v>5.0000000000000001E-3</v>
      </c>
      <c r="I4">
        <v>120</v>
      </c>
      <c r="J4">
        <v>100</v>
      </c>
      <c r="K4">
        <v>10.367957000000001</v>
      </c>
      <c r="L4">
        <v>8.3459400000000006</v>
      </c>
      <c r="M4">
        <v>163.46</v>
      </c>
      <c r="N4" t="s">
        <v>137</v>
      </c>
      <c r="O4" t="s">
        <v>137</v>
      </c>
      <c r="P4">
        <v>5.4840000000000002E-3</v>
      </c>
      <c r="Q4">
        <v>6.6211039999999999</v>
      </c>
      <c r="R4">
        <v>6.6265879999999999</v>
      </c>
      <c r="S4" t="s">
        <v>137</v>
      </c>
      <c r="T4">
        <v>3.7413699999999999</v>
      </c>
      <c r="U4">
        <v>6.4077999999999996E-2</v>
      </c>
      <c r="V4">
        <v>1.7979999999999999E-3</v>
      </c>
      <c r="W4">
        <v>3.019E-3</v>
      </c>
      <c r="X4" t="s">
        <v>137</v>
      </c>
      <c r="Y4">
        <v>63.91</v>
      </c>
      <c r="Z4" t="s">
        <v>137</v>
      </c>
      <c r="AA4">
        <v>36.090000000000003</v>
      </c>
      <c r="AB4">
        <v>0.62</v>
      </c>
      <c r="AC4">
        <v>0.02</v>
      </c>
      <c r="AD4">
        <v>0.03</v>
      </c>
      <c r="AE4" t="s">
        <v>137</v>
      </c>
    </row>
    <row r="5" spans="1:31" x14ac:dyDescent="0.3">
      <c r="A5" t="s">
        <v>9</v>
      </c>
      <c r="B5">
        <v>4</v>
      </c>
      <c r="C5" t="s">
        <v>137</v>
      </c>
      <c r="D5">
        <v>4</v>
      </c>
      <c r="E5">
        <v>3</v>
      </c>
      <c r="F5">
        <v>0.9</v>
      </c>
      <c r="G5">
        <v>0.9</v>
      </c>
      <c r="H5">
        <v>5.0000000000000001E-3</v>
      </c>
      <c r="I5">
        <v>120</v>
      </c>
      <c r="J5">
        <v>100</v>
      </c>
      <c r="K5">
        <v>7.9647059999999996</v>
      </c>
      <c r="L5">
        <v>5.5144419999999998</v>
      </c>
      <c r="M5">
        <v>120.13</v>
      </c>
      <c r="N5" t="s">
        <v>137</v>
      </c>
      <c r="O5" t="s">
        <v>137</v>
      </c>
      <c r="P5">
        <v>5.581E-3</v>
      </c>
      <c r="Q5">
        <v>5.5143069999999996</v>
      </c>
      <c r="R5">
        <v>5.5198879999999999</v>
      </c>
      <c r="S5" t="s">
        <v>137</v>
      </c>
      <c r="T5">
        <v>2.4448180000000002</v>
      </c>
      <c r="U5">
        <v>4.863E-2</v>
      </c>
      <c r="V5">
        <v>1.9040000000000001E-3</v>
      </c>
      <c r="W5">
        <v>2.271E-3</v>
      </c>
      <c r="X5" t="s">
        <v>137</v>
      </c>
      <c r="Y5">
        <v>69.3</v>
      </c>
      <c r="Z5" t="s">
        <v>137</v>
      </c>
      <c r="AA5">
        <v>30.7</v>
      </c>
      <c r="AB5">
        <v>0.61</v>
      </c>
      <c r="AC5">
        <v>0.02</v>
      </c>
      <c r="AD5">
        <v>0.03</v>
      </c>
      <c r="AE5" t="s">
        <v>137</v>
      </c>
    </row>
    <row r="6" spans="1:31" x14ac:dyDescent="0.3">
      <c r="A6" t="s">
        <v>10</v>
      </c>
      <c r="B6">
        <v>4</v>
      </c>
      <c r="C6" t="s">
        <v>137</v>
      </c>
      <c r="D6">
        <v>4</v>
      </c>
      <c r="E6">
        <v>3</v>
      </c>
      <c r="F6">
        <v>0.9</v>
      </c>
      <c r="G6">
        <v>0.9</v>
      </c>
      <c r="H6">
        <v>5.0000000000000001E-3</v>
      </c>
      <c r="I6">
        <v>120</v>
      </c>
      <c r="J6">
        <v>100</v>
      </c>
      <c r="K6">
        <v>11.45163</v>
      </c>
      <c r="L6">
        <v>9.4013159999999996</v>
      </c>
      <c r="M6">
        <v>164.67</v>
      </c>
      <c r="N6" t="s">
        <v>137</v>
      </c>
      <c r="O6" t="s">
        <v>137</v>
      </c>
      <c r="P6">
        <v>6.3720000000000001E-3</v>
      </c>
      <c r="Q6">
        <v>7.2944089999999999</v>
      </c>
      <c r="R6">
        <v>7.3007819999999999</v>
      </c>
      <c r="S6" t="s">
        <v>137</v>
      </c>
      <c r="T6">
        <v>4.1508479999999999</v>
      </c>
      <c r="U6">
        <v>7.5274999999999995E-2</v>
      </c>
      <c r="V6">
        <v>2.2980000000000001E-3</v>
      </c>
      <c r="W6">
        <v>3.6120000000000002E-3</v>
      </c>
      <c r="X6" t="s">
        <v>137</v>
      </c>
      <c r="Y6">
        <v>63.75</v>
      </c>
      <c r="Z6" t="s">
        <v>137</v>
      </c>
      <c r="AA6">
        <v>36.25</v>
      </c>
      <c r="AB6">
        <v>0.66</v>
      </c>
      <c r="AC6">
        <v>0.02</v>
      </c>
      <c r="AD6">
        <v>0.03</v>
      </c>
      <c r="AE6" t="s">
        <v>137</v>
      </c>
    </row>
    <row r="7" spans="1:31" x14ac:dyDescent="0.3">
      <c r="A7" t="s">
        <v>11</v>
      </c>
      <c r="B7">
        <v>4</v>
      </c>
      <c r="C7" t="s">
        <v>137</v>
      </c>
      <c r="D7">
        <v>4</v>
      </c>
      <c r="E7">
        <v>3</v>
      </c>
      <c r="F7">
        <v>0.9</v>
      </c>
      <c r="G7">
        <v>0.9</v>
      </c>
      <c r="H7">
        <v>5.0000000000000001E-3</v>
      </c>
      <c r="I7">
        <v>120</v>
      </c>
      <c r="J7">
        <v>100</v>
      </c>
      <c r="K7">
        <v>7.3232299999999997</v>
      </c>
      <c r="L7">
        <v>6.1466099999999999</v>
      </c>
      <c r="M7">
        <v>125.91</v>
      </c>
      <c r="N7" t="s">
        <v>137</v>
      </c>
      <c r="O7" t="s">
        <v>137</v>
      </c>
      <c r="P7">
        <v>4.8549999999999999E-3</v>
      </c>
      <c r="Q7">
        <v>4.9820529999999996</v>
      </c>
      <c r="R7">
        <v>4.9869079999999997</v>
      </c>
      <c r="S7" t="s">
        <v>137</v>
      </c>
      <c r="T7">
        <v>2.336322</v>
      </c>
      <c r="U7">
        <v>4.4658999999999997E-2</v>
      </c>
      <c r="V7">
        <v>1.6689999999999999E-3</v>
      </c>
      <c r="W7">
        <v>1.8159999999999999E-3</v>
      </c>
      <c r="X7" t="s">
        <v>137</v>
      </c>
      <c r="Y7">
        <v>68.099999999999994</v>
      </c>
      <c r="Z7" t="s">
        <v>137</v>
      </c>
      <c r="AA7">
        <v>31.9</v>
      </c>
      <c r="AB7">
        <v>0.61</v>
      </c>
      <c r="AC7">
        <v>0.02</v>
      </c>
      <c r="AD7">
        <v>0.02</v>
      </c>
      <c r="AE7" t="s">
        <v>137</v>
      </c>
    </row>
    <row r="8" spans="1:31" x14ac:dyDescent="0.3">
      <c r="A8" t="s">
        <v>12</v>
      </c>
      <c r="B8">
        <v>4</v>
      </c>
      <c r="C8" t="s">
        <v>137</v>
      </c>
      <c r="D8">
        <v>4</v>
      </c>
      <c r="E8">
        <v>3</v>
      </c>
      <c r="F8">
        <v>0.9</v>
      </c>
      <c r="G8">
        <v>0.9</v>
      </c>
      <c r="H8">
        <v>5.0000000000000001E-3</v>
      </c>
      <c r="I8">
        <v>120</v>
      </c>
      <c r="J8">
        <v>100</v>
      </c>
      <c r="K8">
        <v>4.5846299999999998</v>
      </c>
      <c r="L8">
        <v>3.0042589999999998</v>
      </c>
      <c r="M8">
        <v>81.88</v>
      </c>
      <c r="N8" t="s">
        <v>137</v>
      </c>
      <c r="O8" t="s">
        <v>137</v>
      </c>
      <c r="P8">
        <v>4.914E-3</v>
      </c>
      <c r="Q8">
        <v>3.2937120000000002</v>
      </c>
      <c r="R8">
        <v>3.2986260000000001</v>
      </c>
      <c r="S8" t="s">
        <v>137</v>
      </c>
      <c r="T8">
        <v>1.2860050000000001</v>
      </c>
      <c r="U8">
        <v>2.7157000000000001E-2</v>
      </c>
      <c r="V8">
        <v>1.5950000000000001E-3</v>
      </c>
      <c r="W8">
        <v>1.1820000000000001E-3</v>
      </c>
      <c r="X8" t="s">
        <v>137</v>
      </c>
      <c r="Y8">
        <v>71.95</v>
      </c>
      <c r="Z8" t="s">
        <v>137</v>
      </c>
      <c r="AA8">
        <v>28.05</v>
      </c>
      <c r="AB8">
        <v>0.59</v>
      </c>
      <c r="AC8">
        <v>0.03</v>
      </c>
      <c r="AD8">
        <v>0.03</v>
      </c>
      <c r="AE8" t="s">
        <v>137</v>
      </c>
    </row>
    <row r="9" spans="1:31" x14ac:dyDescent="0.3">
      <c r="A9" t="s">
        <v>13</v>
      </c>
      <c r="B9">
        <v>4</v>
      </c>
      <c r="C9" t="s">
        <v>137</v>
      </c>
      <c r="D9">
        <v>4</v>
      </c>
      <c r="E9">
        <v>3</v>
      </c>
      <c r="F9">
        <v>0.9</v>
      </c>
      <c r="G9">
        <v>0.9</v>
      </c>
      <c r="H9">
        <v>5.0000000000000001E-3</v>
      </c>
      <c r="I9">
        <v>120</v>
      </c>
      <c r="J9">
        <v>100</v>
      </c>
      <c r="K9">
        <v>5.2085869999999996</v>
      </c>
      <c r="L9">
        <v>3.6983839999999999</v>
      </c>
      <c r="M9">
        <v>96.41</v>
      </c>
      <c r="N9" t="s">
        <v>137</v>
      </c>
      <c r="O9" t="s">
        <v>137</v>
      </c>
      <c r="P9">
        <v>5.0850000000000001E-3</v>
      </c>
      <c r="Q9">
        <v>3.6650489999999998</v>
      </c>
      <c r="R9">
        <v>3.6701329999999999</v>
      </c>
      <c r="S9" t="s">
        <v>137</v>
      </c>
      <c r="T9">
        <v>1.5384530000000001</v>
      </c>
      <c r="U9">
        <v>3.2632000000000001E-2</v>
      </c>
      <c r="V9">
        <v>1.684E-3</v>
      </c>
      <c r="W9">
        <v>1.305E-3</v>
      </c>
      <c r="X9" t="s">
        <v>137</v>
      </c>
      <c r="Y9">
        <v>70.459999999999994</v>
      </c>
      <c r="Z9" t="s">
        <v>137</v>
      </c>
      <c r="AA9">
        <v>29.54</v>
      </c>
      <c r="AB9">
        <v>0.63</v>
      </c>
      <c r="AC9">
        <v>0.03</v>
      </c>
      <c r="AD9">
        <v>0.03</v>
      </c>
      <c r="AE9" t="s">
        <v>137</v>
      </c>
    </row>
    <row r="10" spans="1:31" x14ac:dyDescent="0.3">
      <c r="A10" t="s">
        <v>14</v>
      </c>
      <c r="B10">
        <v>4</v>
      </c>
      <c r="C10" t="s">
        <v>137</v>
      </c>
      <c r="D10">
        <v>4</v>
      </c>
      <c r="E10">
        <v>3</v>
      </c>
      <c r="F10">
        <v>0.9</v>
      </c>
      <c r="G10">
        <v>0.9</v>
      </c>
      <c r="H10">
        <v>5.0000000000000001E-3</v>
      </c>
      <c r="I10">
        <v>120</v>
      </c>
      <c r="J10">
        <v>100</v>
      </c>
      <c r="K10">
        <v>7.3703070000000004</v>
      </c>
      <c r="L10">
        <v>4.9558600000000004</v>
      </c>
      <c r="M10">
        <v>124.22</v>
      </c>
      <c r="N10" t="s">
        <v>137</v>
      </c>
      <c r="O10" t="s">
        <v>137</v>
      </c>
      <c r="P10">
        <v>5.5050000000000003E-3</v>
      </c>
      <c r="Q10">
        <v>5.0912540000000002</v>
      </c>
      <c r="R10">
        <v>5.0967589999999996</v>
      </c>
      <c r="S10" t="s">
        <v>137</v>
      </c>
      <c r="T10">
        <v>2.2735470000000002</v>
      </c>
      <c r="U10">
        <v>4.5560000000000003E-2</v>
      </c>
      <c r="V10">
        <v>1.689E-3</v>
      </c>
      <c r="W10">
        <v>2.0270000000000002E-3</v>
      </c>
      <c r="X10" t="s">
        <v>137</v>
      </c>
      <c r="Y10">
        <v>69.150000000000006</v>
      </c>
      <c r="Z10" t="s">
        <v>137</v>
      </c>
      <c r="AA10">
        <v>30.85</v>
      </c>
      <c r="AB10">
        <v>0.62</v>
      </c>
      <c r="AC10">
        <v>0.02</v>
      </c>
      <c r="AD10">
        <v>0.03</v>
      </c>
      <c r="AE10" t="s">
        <v>137</v>
      </c>
    </row>
    <row r="11" spans="1:31" x14ac:dyDescent="0.3">
      <c r="A11" t="s">
        <v>15</v>
      </c>
      <c r="B11">
        <v>4</v>
      </c>
      <c r="C11" t="s">
        <v>137</v>
      </c>
      <c r="D11">
        <v>4</v>
      </c>
      <c r="E11">
        <v>3</v>
      </c>
      <c r="F11">
        <v>0.9</v>
      </c>
      <c r="G11">
        <v>0.9</v>
      </c>
      <c r="H11">
        <v>5.0000000000000001E-3</v>
      </c>
      <c r="I11">
        <v>120</v>
      </c>
      <c r="J11">
        <v>100</v>
      </c>
      <c r="K11">
        <v>5.6944039999999996</v>
      </c>
      <c r="L11">
        <v>4.0744300000000004</v>
      </c>
      <c r="M11">
        <v>89.8</v>
      </c>
      <c r="N11" t="s">
        <v>137</v>
      </c>
      <c r="O11" t="s">
        <v>137</v>
      </c>
      <c r="P11">
        <v>5.9550000000000002E-3</v>
      </c>
      <c r="Q11">
        <v>4.077121</v>
      </c>
      <c r="R11">
        <v>4.0830760000000001</v>
      </c>
      <c r="S11" t="s">
        <v>137</v>
      </c>
      <c r="T11">
        <v>1.6113280000000001</v>
      </c>
      <c r="U11">
        <v>3.6290000000000003E-2</v>
      </c>
      <c r="V11">
        <v>2.0070000000000001E-3</v>
      </c>
      <c r="W11">
        <v>1.635E-3</v>
      </c>
      <c r="X11" t="s">
        <v>137</v>
      </c>
      <c r="Y11">
        <v>71.7</v>
      </c>
      <c r="Z11" t="s">
        <v>137</v>
      </c>
      <c r="AA11">
        <v>28.3</v>
      </c>
      <c r="AB11">
        <v>0.64</v>
      </c>
      <c r="AC11">
        <v>0.04</v>
      </c>
      <c r="AD11">
        <v>0.03</v>
      </c>
      <c r="AE11" t="s">
        <v>137</v>
      </c>
    </row>
    <row r="12" spans="1:31" x14ac:dyDescent="0.3">
      <c r="A12" t="s">
        <v>16</v>
      </c>
      <c r="B12">
        <v>4</v>
      </c>
      <c r="C12" t="s">
        <v>137</v>
      </c>
      <c r="D12">
        <v>4</v>
      </c>
      <c r="E12">
        <v>3</v>
      </c>
      <c r="F12">
        <v>0.9</v>
      </c>
      <c r="G12">
        <v>0.9</v>
      </c>
      <c r="H12">
        <v>5.0000000000000001E-3</v>
      </c>
      <c r="I12">
        <v>120</v>
      </c>
      <c r="J12">
        <v>75</v>
      </c>
      <c r="K12">
        <v>28.971509999999999</v>
      </c>
      <c r="L12">
        <v>23.518611</v>
      </c>
      <c r="M12">
        <v>473.85</v>
      </c>
      <c r="N12" t="s">
        <v>137</v>
      </c>
      <c r="O12" t="s">
        <v>137</v>
      </c>
      <c r="P12">
        <v>8.3079999999999994E-3</v>
      </c>
      <c r="Q12">
        <v>13.858475</v>
      </c>
      <c r="R12">
        <v>13.866782000000001</v>
      </c>
      <c r="S12" t="s">
        <v>137</v>
      </c>
      <c r="T12">
        <v>15.104728</v>
      </c>
      <c r="U12">
        <v>0.26756799999999997</v>
      </c>
      <c r="V12">
        <v>2.8609999999999998E-3</v>
      </c>
      <c r="W12">
        <v>1.0895999999999999E-2</v>
      </c>
      <c r="X12" t="s">
        <v>137</v>
      </c>
      <c r="Y12">
        <v>47.86</v>
      </c>
      <c r="Z12" t="s">
        <v>137</v>
      </c>
      <c r="AA12">
        <v>52.14</v>
      </c>
      <c r="AB12">
        <v>0.92</v>
      </c>
      <c r="AC12">
        <v>0.01</v>
      </c>
      <c r="AD12">
        <v>0.04</v>
      </c>
      <c r="AE12" t="s">
        <v>137</v>
      </c>
    </row>
    <row r="13" spans="1:31" x14ac:dyDescent="0.3">
      <c r="A13" t="s">
        <v>17</v>
      </c>
      <c r="B13">
        <v>4</v>
      </c>
      <c r="C13" t="s">
        <v>137</v>
      </c>
      <c r="D13">
        <v>4</v>
      </c>
      <c r="E13">
        <v>3</v>
      </c>
      <c r="F13">
        <v>0.9</v>
      </c>
      <c r="G13">
        <v>0.9</v>
      </c>
      <c r="H13">
        <v>5.0000000000000001E-3</v>
      </c>
      <c r="I13">
        <v>120</v>
      </c>
      <c r="J13">
        <v>99</v>
      </c>
      <c r="K13">
        <v>9.9517670000000003</v>
      </c>
      <c r="L13">
        <v>9.3724589999999992</v>
      </c>
      <c r="M13">
        <v>159.79</v>
      </c>
      <c r="N13" t="s">
        <v>137</v>
      </c>
      <c r="O13" t="s">
        <v>137</v>
      </c>
      <c r="P13">
        <v>9.0100000000000006E-3</v>
      </c>
      <c r="Q13">
        <v>6.5001540000000002</v>
      </c>
      <c r="R13">
        <v>6.5091640000000002</v>
      </c>
      <c r="S13" t="s">
        <v>137</v>
      </c>
      <c r="T13">
        <v>3.4426030000000001</v>
      </c>
      <c r="U13">
        <v>9.2665999999999998E-2</v>
      </c>
      <c r="V13">
        <v>3.1120000000000002E-3</v>
      </c>
      <c r="W13">
        <v>3.9090000000000001E-3</v>
      </c>
      <c r="X13" t="s">
        <v>137</v>
      </c>
      <c r="Y13">
        <v>65.41</v>
      </c>
      <c r="Z13" t="s">
        <v>137</v>
      </c>
      <c r="AA13">
        <v>34.590000000000003</v>
      </c>
      <c r="AB13">
        <v>0.93</v>
      </c>
      <c r="AC13">
        <v>0.03</v>
      </c>
      <c r="AD13">
        <v>0.04</v>
      </c>
      <c r="AE13" t="s">
        <v>137</v>
      </c>
    </row>
    <row r="14" spans="1:31" x14ac:dyDescent="0.3">
      <c r="A14" t="s">
        <v>18</v>
      </c>
      <c r="B14">
        <v>4</v>
      </c>
      <c r="C14" t="s">
        <v>137</v>
      </c>
      <c r="D14">
        <v>4</v>
      </c>
      <c r="E14">
        <v>3</v>
      </c>
      <c r="F14">
        <v>0.9</v>
      </c>
      <c r="G14">
        <v>0.9</v>
      </c>
      <c r="H14">
        <v>5.0000000000000001E-3</v>
      </c>
      <c r="I14">
        <v>120</v>
      </c>
      <c r="J14">
        <v>100</v>
      </c>
      <c r="K14">
        <v>4.9087129999999997</v>
      </c>
      <c r="L14">
        <v>9.0254209999999997</v>
      </c>
      <c r="M14">
        <v>67.34</v>
      </c>
      <c r="N14" t="s">
        <v>137</v>
      </c>
      <c r="O14" t="s">
        <v>137</v>
      </c>
      <c r="P14">
        <v>1.0008E-2</v>
      </c>
      <c r="Q14">
        <v>3.339286</v>
      </c>
      <c r="R14">
        <v>3.3492950000000001</v>
      </c>
      <c r="S14" t="s">
        <v>137</v>
      </c>
      <c r="T14">
        <v>1.5594190000000001</v>
      </c>
      <c r="U14">
        <v>4.1980999999999997E-2</v>
      </c>
      <c r="V14">
        <v>2.921E-3</v>
      </c>
      <c r="W14">
        <v>1.7099999999999999E-3</v>
      </c>
      <c r="X14" t="s">
        <v>137</v>
      </c>
      <c r="Y14">
        <v>68.23</v>
      </c>
      <c r="Z14" t="s">
        <v>137</v>
      </c>
      <c r="AA14">
        <v>31.77</v>
      </c>
      <c r="AB14">
        <v>0.86</v>
      </c>
      <c r="AC14">
        <v>0.06</v>
      </c>
      <c r="AD14">
        <v>0.03</v>
      </c>
      <c r="AE14" t="s">
        <v>137</v>
      </c>
    </row>
    <row r="15" spans="1:31" x14ac:dyDescent="0.3">
      <c r="A15" t="s">
        <v>19</v>
      </c>
      <c r="B15">
        <v>4</v>
      </c>
      <c r="C15" t="s">
        <v>137</v>
      </c>
      <c r="D15">
        <v>4</v>
      </c>
      <c r="E15">
        <v>3</v>
      </c>
      <c r="F15">
        <v>0.9</v>
      </c>
      <c r="G15">
        <v>0.9</v>
      </c>
      <c r="H15">
        <v>5.0000000000000001E-3</v>
      </c>
      <c r="I15">
        <v>120</v>
      </c>
      <c r="J15">
        <v>97</v>
      </c>
      <c r="K15">
        <v>21.876124999999998</v>
      </c>
      <c r="L15">
        <v>22.265041</v>
      </c>
      <c r="M15">
        <v>397.84</v>
      </c>
      <c r="N15" t="s">
        <v>137</v>
      </c>
      <c r="O15" t="s">
        <v>137</v>
      </c>
      <c r="P15">
        <v>7.5589999999999997E-3</v>
      </c>
      <c r="Q15">
        <v>10.095107</v>
      </c>
      <c r="R15">
        <v>10.102665999999999</v>
      </c>
      <c r="S15" t="s">
        <v>137</v>
      </c>
      <c r="T15">
        <v>11.773459000000001</v>
      </c>
      <c r="U15">
        <v>0.188115</v>
      </c>
      <c r="V15">
        <v>2.6259999999999999E-3</v>
      </c>
      <c r="W15">
        <v>7.8720000000000005E-3</v>
      </c>
      <c r="X15" t="s">
        <v>137</v>
      </c>
      <c r="Y15">
        <v>46.18</v>
      </c>
      <c r="Z15" t="s">
        <v>137</v>
      </c>
      <c r="AA15">
        <v>53.82</v>
      </c>
      <c r="AB15">
        <v>0.86</v>
      </c>
      <c r="AC15">
        <v>0.01</v>
      </c>
      <c r="AD15">
        <v>0.04</v>
      </c>
      <c r="AE15" t="s">
        <v>137</v>
      </c>
    </row>
    <row r="16" spans="1:31" x14ac:dyDescent="0.3">
      <c r="A16" t="s">
        <v>20</v>
      </c>
      <c r="B16">
        <v>4</v>
      </c>
      <c r="C16" t="s">
        <v>137</v>
      </c>
      <c r="D16">
        <v>4</v>
      </c>
      <c r="E16">
        <v>3</v>
      </c>
      <c r="F16">
        <v>0.9</v>
      </c>
      <c r="G16">
        <v>0.9</v>
      </c>
      <c r="H16">
        <v>5.0000000000000001E-3</v>
      </c>
      <c r="I16">
        <v>120</v>
      </c>
      <c r="J16">
        <v>97</v>
      </c>
      <c r="K16">
        <v>8.2265270000000008</v>
      </c>
      <c r="L16">
        <v>12.847253</v>
      </c>
      <c r="M16">
        <v>141.57</v>
      </c>
      <c r="N16" t="s">
        <v>137</v>
      </c>
      <c r="O16" t="s">
        <v>137</v>
      </c>
      <c r="P16">
        <v>7.7250000000000001E-3</v>
      </c>
      <c r="Q16">
        <v>5.0719599999999998</v>
      </c>
      <c r="R16">
        <v>5.0796859999999997</v>
      </c>
      <c r="S16" t="s">
        <v>137</v>
      </c>
      <c r="T16">
        <v>3.1468419999999999</v>
      </c>
      <c r="U16">
        <v>6.8251000000000006E-2</v>
      </c>
      <c r="V16">
        <v>2.5000000000000001E-3</v>
      </c>
      <c r="W16">
        <v>2.7810000000000001E-3</v>
      </c>
      <c r="X16" t="s">
        <v>137</v>
      </c>
      <c r="Y16">
        <v>61.75</v>
      </c>
      <c r="Z16" t="s">
        <v>137</v>
      </c>
      <c r="AA16">
        <v>38.25</v>
      </c>
      <c r="AB16">
        <v>0.83</v>
      </c>
      <c r="AC16">
        <v>0.03</v>
      </c>
      <c r="AD16">
        <v>0.03</v>
      </c>
      <c r="AE16" t="s">
        <v>137</v>
      </c>
    </row>
    <row r="17" spans="1:31" x14ac:dyDescent="0.3">
      <c r="A17" t="s">
        <v>21</v>
      </c>
      <c r="B17">
        <v>4</v>
      </c>
      <c r="C17" t="s">
        <v>137</v>
      </c>
      <c r="D17">
        <v>4</v>
      </c>
      <c r="E17">
        <v>3</v>
      </c>
      <c r="F17">
        <v>0.9</v>
      </c>
      <c r="G17">
        <v>0.9</v>
      </c>
      <c r="H17">
        <v>5.0000000000000001E-3</v>
      </c>
      <c r="I17">
        <v>120</v>
      </c>
      <c r="J17">
        <v>100</v>
      </c>
      <c r="K17">
        <v>10.645505</v>
      </c>
      <c r="L17">
        <v>8.5102429999999991</v>
      </c>
      <c r="M17">
        <v>179.87</v>
      </c>
      <c r="N17" t="s">
        <v>137</v>
      </c>
      <c r="O17" t="s">
        <v>137</v>
      </c>
      <c r="P17">
        <v>7.8110000000000002E-3</v>
      </c>
      <c r="Q17">
        <v>7.0216229999999999</v>
      </c>
      <c r="R17">
        <v>7.029433</v>
      </c>
      <c r="S17" t="s">
        <v>137</v>
      </c>
      <c r="T17">
        <v>3.616072</v>
      </c>
      <c r="U17">
        <v>8.7095000000000006E-2</v>
      </c>
      <c r="V17">
        <v>2.4260000000000002E-3</v>
      </c>
      <c r="W17">
        <v>3.7109999999999999E-3</v>
      </c>
      <c r="X17" t="s">
        <v>137</v>
      </c>
      <c r="Y17">
        <v>66.03</v>
      </c>
      <c r="Z17" t="s">
        <v>137</v>
      </c>
      <c r="AA17">
        <v>33.97</v>
      </c>
      <c r="AB17">
        <v>0.82</v>
      </c>
      <c r="AC17">
        <v>0.02</v>
      </c>
      <c r="AD17">
        <v>0.03</v>
      </c>
      <c r="AE17" t="s">
        <v>137</v>
      </c>
    </row>
    <row r="18" spans="1:31" x14ac:dyDescent="0.3">
      <c r="A18" t="s">
        <v>22</v>
      </c>
      <c r="B18">
        <v>4</v>
      </c>
      <c r="C18" t="s">
        <v>137</v>
      </c>
      <c r="D18">
        <v>4</v>
      </c>
      <c r="E18">
        <v>3</v>
      </c>
      <c r="F18">
        <v>0.9</v>
      </c>
      <c r="G18">
        <v>0.9</v>
      </c>
      <c r="H18">
        <v>5.0000000000000001E-3</v>
      </c>
      <c r="I18">
        <v>120</v>
      </c>
      <c r="J18">
        <v>100</v>
      </c>
      <c r="K18">
        <v>4.7421059999999997</v>
      </c>
      <c r="L18">
        <v>4.990272</v>
      </c>
      <c r="M18">
        <v>86.51</v>
      </c>
      <c r="N18" t="s">
        <v>137</v>
      </c>
      <c r="O18" t="s">
        <v>137</v>
      </c>
      <c r="P18">
        <v>7.3660000000000002E-3</v>
      </c>
      <c r="Q18">
        <v>3.3197930000000002</v>
      </c>
      <c r="R18">
        <v>3.327159</v>
      </c>
      <c r="S18" t="s">
        <v>137</v>
      </c>
      <c r="T18">
        <v>1.414946</v>
      </c>
      <c r="U18">
        <v>3.9301999999999997E-2</v>
      </c>
      <c r="V18">
        <v>2.2200000000000002E-3</v>
      </c>
      <c r="W18">
        <v>1.6119999999999999E-3</v>
      </c>
      <c r="X18" t="s">
        <v>137</v>
      </c>
      <c r="Y18">
        <v>70.16</v>
      </c>
      <c r="Z18" t="s">
        <v>137</v>
      </c>
      <c r="AA18">
        <v>29.84</v>
      </c>
      <c r="AB18">
        <v>0.83</v>
      </c>
      <c r="AC18">
        <v>0.05</v>
      </c>
      <c r="AD18">
        <v>0.03</v>
      </c>
      <c r="AE18" t="s">
        <v>137</v>
      </c>
    </row>
    <row r="19" spans="1:31" x14ac:dyDescent="0.3">
      <c r="A19" t="s">
        <v>23</v>
      </c>
      <c r="B19">
        <v>4</v>
      </c>
      <c r="C19" t="s">
        <v>137</v>
      </c>
      <c r="D19">
        <v>4</v>
      </c>
      <c r="E19">
        <v>3</v>
      </c>
      <c r="F19">
        <v>0.9</v>
      </c>
      <c r="G19">
        <v>0.9</v>
      </c>
      <c r="H19">
        <v>5.0000000000000001E-3</v>
      </c>
      <c r="I19">
        <v>120</v>
      </c>
      <c r="J19">
        <v>99</v>
      </c>
      <c r="K19">
        <v>21.165935999999999</v>
      </c>
      <c r="L19">
        <v>23.243948</v>
      </c>
      <c r="M19">
        <v>378.89</v>
      </c>
      <c r="N19" t="s">
        <v>137</v>
      </c>
      <c r="O19" t="s">
        <v>137</v>
      </c>
      <c r="P19">
        <v>7.986E-3</v>
      </c>
      <c r="Q19">
        <v>10.369647000000001</v>
      </c>
      <c r="R19">
        <v>10.377632999999999</v>
      </c>
      <c r="S19" t="s">
        <v>137</v>
      </c>
      <c r="T19">
        <v>10.788303000000001</v>
      </c>
      <c r="U19">
        <v>0.18606900000000001</v>
      </c>
      <c r="V19">
        <v>2.5839999999999999E-3</v>
      </c>
      <c r="W19">
        <v>7.5760000000000003E-3</v>
      </c>
      <c r="X19" t="s">
        <v>137</v>
      </c>
      <c r="Y19">
        <v>49.03</v>
      </c>
      <c r="Z19" t="s">
        <v>137</v>
      </c>
      <c r="AA19">
        <v>50.97</v>
      </c>
      <c r="AB19">
        <v>0.88</v>
      </c>
      <c r="AC19">
        <v>0.01</v>
      </c>
      <c r="AD19">
        <v>0.04</v>
      </c>
      <c r="AE19" t="s">
        <v>137</v>
      </c>
    </row>
    <row r="20" spans="1:31" x14ac:dyDescent="0.3">
      <c r="A20" t="s">
        <v>24</v>
      </c>
      <c r="B20">
        <v>4</v>
      </c>
      <c r="C20" t="s">
        <v>137</v>
      </c>
      <c r="D20">
        <v>4</v>
      </c>
      <c r="E20">
        <v>3</v>
      </c>
      <c r="F20">
        <v>0.9</v>
      </c>
      <c r="G20">
        <v>0.9</v>
      </c>
      <c r="H20">
        <v>5.0000000000000001E-3</v>
      </c>
      <c r="I20">
        <v>120</v>
      </c>
      <c r="J20">
        <v>95</v>
      </c>
      <c r="K20">
        <v>16.850256000000002</v>
      </c>
      <c r="L20">
        <v>17.252721000000001</v>
      </c>
      <c r="M20">
        <v>242.86</v>
      </c>
      <c r="N20" t="s">
        <v>137</v>
      </c>
      <c r="O20" t="s">
        <v>137</v>
      </c>
      <c r="P20">
        <v>9.0819999999999998E-3</v>
      </c>
      <c r="Q20">
        <v>10.126317</v>
      </c>
      <c r="R20">
        <v>10.135400000000001</v>
      </c>
      <c r="S20" t="s">
        <v>137</v>
      </c>
      <c r="T20">
        <v>6.7148570000000003</v>
      </c>
      <c r="U20">
        <v>0.15176500000000001</v>
      </c>
      <c r="V20">
        <v>2.9190000000000002E-3</v>
      </c>
      <c r="W20">
        <v>6.2350000000000001E-3</v>
      </c>
      <c r="X20" t="s">
        <v>137</v>
      </c>
      <c r="Y20">
        <v>60.15</v>
      </c>
      <c r="Z20" t="s">
        <v>137</v>
      </c>
      <c r="AA20">
        <v>39.85</v>
      </c>
      <c r="AB20">
        <v>0.9</v>
      </c>
      <c r="AC20">
        <v>0.02</v>
      </c>
      <c r="AD20">
        <v>0.04</v>
      </c>
      <c r="AE20" t="s">
        <v>137</v>
      </c>
    </row>
    <row r="21" spans="1:31" x14ac:dyDescent="0.3">
      <c r="A21" t="s">
        <v>25</v>
      </c>
      <c r="B21">
        <v>4</v>
      </c>
      <c r="C21" t="s">
        <v>137</v>
      </c>
      <c r="D21">
        <v>4</v>
      </c>
      <c r="E21">
        <v>3</v>
      </c>
      <c r="F21">
        <v>0.9</v>
      </c>
      <c r="G21">
        <v>0.9</v>
      </c>
      <c r="H21">
        <v>5.0000000000000001E-3</v>
      </c>
      <c r="I21">
        <v>120</v>
      </c>
      <c r="J21">
        <v>97</v>
      </c>
      <c r="K21">
        <v>21.970379999999999</v>
      </c>
      <c r="L21">
        <v>23.311563</v>
      </c>
      <c r="M21">
        <v>350.63</v>
      </c>
      <c r="N21" t="s">
        <v>137</v>
      </c>
      <c r="O21" t="s">
        <v>137</v>
      </c>
      <c r="P21">
        <v>8.3560000000000006E-3</v>
      </c>
      <c r="Q21">
        <v>11.127184</v>
      </c>
      <c r="R21">
        <v>11.135540000000001</v>
      </c>
      <c r="S21" t="s">
        <v>137</v>
      </c>
      <c r="T21">
        <v>10.83484</v>
      </c>
      <c r="U21">
        <v>0.17773900000000001</v>
      </c>
      <c r="V21">
        <v>2.6800000000000001E-3</v>
      </c>
      <c r="W21">
        <v>7.7650000000000002E-3</v>
      </c>
      <c r="X21" t="s">
        <v>137</v>
      </c>
      <c r="Y21">
        <v>50.68</v>
      </c>
      <c r="Z21" t="s">
        <v>137</v>
      </c>
      <c r="AA21">
        <v>49.32</v>
      </c>
      <c r="AB21">
        <v>0.81</v>
      </c>
      <c r="AC21">
        <v>0.01</v>
      </c>
      <c r="AD21">
        <v>0.04</v>
      </c>
      <c r="AE21" t="s">
        <v>137</v>
      </c>
    </row>
    <row r="22" spans="1:31" x14ac:dyDescent="0.3">
      <c r="A22" t="s">
        <v>26</v>
      </c>
      <c r="B22">
        <v>4</v>
      </c>
      <c r="C22" t="s">
        <v>137</v>
      </c>
      <c r="D22">
        <v>4</v>
      </c>
      <c r="E22">
        <v>3</v>
      </c>
      <c r="F22">
        <v>0.9</v>
      </c>
      <c r="G22">
        <v>0.9</v>
      </c>
      <c r="H22">
        <v>5.0000000000000001E-3</v>
      </c>
      <c r="I22">
        <v>120</v>
      </c>
      <c r="J22">
        <v>100</v>
      </c>
      <c r="K22">
        <v>12.460478</v>
      </c>
      <c r="L22">
        <v>11.512496000000001</v>
      </c>
      <c r="M22">
        <v>184.23</v>
      </c>
      <c r="N22" t="s">
        <v>137</v>
      </c>
      <c r="O22" t="s">
        <v>137</v>
      </c>
      <c r="P22">
        <v>9.2949999999999994E-3</v>
      </c>
      <c r="Q22">
        <v>8.0665420000000001</v>
      </c>
      <c r="R22">
        <v>8.0758369999999999</v>
      </c>
      <c r="S22" t="s">
        <v>137</v>
      </c>
      <c r="T22">
        <v>4.3846420000000004</v>
      </c>
      <c r="U22">
        <v>9.9802000000000002E-2</v>
      </c>
      <c r="V22">
        <v>2.745E-3</v>
      </c>
      <c r="W22">
        <v>4.1079999999999997E-3</v>
      </c>
      <c r="X22" t="s">
        <v>137</v>
      </c>
      <c r="Y22">
        <v>64.81</v>
      </c>
      <c r="Z22" t="s">
        <v>137</v>
      </c>
      <c r="AA22">
        <v>35.19</v>
      </c>
      <c r="AB22">
        <v>0.8</v>
      </c>
      <c r="AC22">
        <v>0.02</v>
      </c>
      <c r="AD22">
        <v>0.03</v>
      </c>
      <c r="AE22" t="s">
        <v>137</v>
      </c>
    </row>
    <row r="23" spans="1:31" x14ac:dyDescent="0.3">
      <c r="A23" t="s">
        <v>27</v>
      </c>
      <c r="B23">
        <v>4</v>
      </c>
      <c r="C23" t="s">
        <v>137</v>
      </c>
      <c r="D23">
        <v>4</v>
      </c>
      <c r="E23">
        <v>3</v>
      </c>
      <c r="F23">
        <v>0.9</v>
      </c>
      <c r="G23">
        <v>0.9</v>
      </c>
      <c r="H23">
        <v>5.0000000000000001E-3</v>
      </c>
      <c r="I23">
        <v>120</v>
      </c>
      <c r="J23">
        <v>84</v>
      </c>
      <c r="K23">
        <v>37.059753000000001</v>
      </c>
      <c r="L23">
        <v>24.269134000000001</v>
      </c>
      <c r="M23">
        <v>595.75</v>
      </c>
      <c r="N23" t="s">
        <v>137</v>
      </c>
      <c r="O23" t="s">
        <v>137</v>
      </c>
      <c r="P23">
        <v>9.7909999999999994E-3</v>
      </c>
      <c r="Q23">
        <v>18.217469000000001</v>
      </c>
      <c r="R23">
        <v>18.227259</v>
      </c>
      <c r="S23" t="s">
        <v>137</v>
      </c>
      <c r="T23">
        <v>18.832492999999999</v>
      </c>
      <c r="U23">
        <v>0.32570399999999999</v>
      </c>
      <c r="V23">
        <v>2.8839999999999998E-3</v>
      </c>
      <c r="W23">
        <v>1.3453E-2</v>
      </c>
      <c r="X23" t="s">
        <v>137</v>
      </c>
      <c r="Y23">
        <v>49.18</v>
      </c>
      <c r="Z23" t="s">
        <v>137</v>
      </c>
      <c r="AA23">
        <v>50.82</v>
      </c>
      <c r="AB23">
        <v>0.88</v>
      </c>
      <c r="AC23">
        <v>0.01</v>
      </c>
      <c r="AD23">
        <v>0.04</v>
      </c>
      <c r="AE23" t="s">
        <v>137</v>
      </c>
    </row>
    <row r="24" spans="1:31" x14ac:dyDescent="0.3">
      <c r="A24" t="s">
        <v>28</v>
      </c>
      <c r="B24">
        <v>4</v>
      </c>
      <c r="C24" t="s">
        <v>137</v>
      </c>
      <c r="D24">
        <v>4</v>
      </c>
      <c r="E24">
        <v>3</v>
      </c>
      <c r="F24">
        <v>0.9</v>
      </c>
      <c r="G24">
        <v>0.9</v>
      </c>
      <c r="H24">
        <v>5.0000000000000001E-3</v>
      </c>
      <c r="I24">
        <v>120</v>
      </c>
      <c r="J24">
        <v>98</v>
      </c>
      <c r="K24">
        <v>19.122634999999999</v>
      </c>
      <c r="L24">
        <v>21.859500000000001</v>
      </c>
      <c r="M24">
        <v>315.02</v>
      </c>
      <c r="N24" t="s">
        <v>137</v>
      </c>
      <c r="O24" t="s">
        <v>137</v>
      </c>
      <c r="P24">
        <v>9.1199999999999996E-3</v>
      </c>
      <c r="Q24">
        <v>10.290960999999999</v>
      </c>
      <c r="R24">
        <v>10.300081</v>
      </c>
      <c r="S24" t="s">
        <v>137</v>
      </c>
      <c r="T24">
        <v>8.8225540000000002</v>
      </c>
      <c r="U24">
        <v>0.16919600000000001</v>
      </c>
      <c r="V24">
        <v>2.826E-3</v>
      </c>
      <c r="W24">
        <v>6.9800000000000001E-3</v>
      </c>
      <c r="X24" t="s">
        <v>137</v>
      </c>
      <c r="Y24">
        <v>53.86</v>
      </c>
      <c r="Z24" t="s">
        <v>137</v>
      </c>
      <c r="AA24">
        <v>46.14</v>
      </c>
      <c r="AB24">
        <v>0.88</v>
      </c>
      <c r="AC24">
        <v>0.01</v>
      </c>
      <c r="AD24">
        <v>0.04</v>
      </c>
      <c r="AE24" t="s">
        <v>137</v>
      </c>
    </row>
    <row r="25" spans="1:31" x14ac:dyDescent="0.3">
      <c r="A25" t="s">
        <v>29</v>
      </c>
      <c r="B25">
        <v>4</v>
      </c>
      <c r="C25" t="s">
        <v>137</v>
      </c>
      <c r="D25">
        <v>4</v>
      </c>
      <c r="E25">
        <v>3</v>
      </c>
      <c r="F25">
        <v>0.9</v>
      </c>
      <c r="G25">
        <v>0.9</v>
      </c>
      <c r="H25">
        <v>5.0000000000000001E-3</v>
      </c>
      <c r="I25">
        <v>120</v>
      </c>
      <c r="J25">
        <v>100</v>
      </c>
      <c r="K25">
        <v>13.555498999999999</v>
      </c>
      <c r="L25">
        <v>11.492305999999999</v>
      </c>
      <c r="M25">
        <v>209.28</v>
      </c>
      <c r="N25" t="s">
        <v>137</v>
      </c>
      <c r="O25" t="s">
        <v>137</v>
      </c>
      <c r="P25">
        <v>9.4540000000000006E-3</v>
      </c>
      <c r="Q25">
        <v>8.5630659999999992</v>
      </c>
      <c r="R25">
        <v>8.5725200000000008</v>
      </c>
      <c r="S25" t="s">
        <v>137</v>
      </c>
      <c r="T25">
        <v>4.9829800000000004</v>
      </c>
      <c r="U25">
        <v>0.112631</v>
      </c>
      <c r="V25">
        <v>2.6679999999999998E-3</v>
      </c>
      <c r="W25">
        <v>4.7689999999999998E-3</v>
      </c>
      <c r="X25" t="s">
        <v>137</v>
      </c>
      <c r="Y25">
        <v>63.24</v>
      </c>
      <c r="Z25" t="s">
        <v>137</v>
      </c>
      <c r="AA25">
        <v>36.76</v>
      </c>
      <c r="AB25">
        <v>0.83</v>
      </c>
      <c r="AC25">
        <v>0.02</v>
      </c>
      <c r="AD25">
        <v>0.04</v>
      </c>
      <c r="AE25" t="s">
        <v>137</v>
      </c>
    </row>
    <row r="26" spans="1:31" x14ac:dyDescent="0.3">
      <c r="A26" t="s">
        <v>30</v>
      </c>
      <c r="B26">
        <v>4</v>
      </c>
      <c r="C26" t="s">
        <v>137</v>
      </c>
      <c r="D26">
        <v>4</v>
      </c>
      <c r="E26">
        <v>3</v>
      </c>
      <c r="F26">
        <v>0.9</v>
      </c>
      <c r="G26">
        <v>0.9</v>
      </c>
      <c r="H26">
        <v>5.0000000000000001E-3</v>
      </c>
      <c r="I26">
        <v>120</v>
      </c>
      <c r="J26">
        <v>97</v>
      </c>
      <c r="K26">
        <v>20.816082000000002</v>
      </c>
      <c r="L26">
        <v>18.926518999999999</v>
      </c>
      <c r="M26">
        <v>273.60000000000002</v>
      </c>
      <c r="N26" t="s">
        <v>137</v>
      </c>
      <c r="O26" t="s">
        <v>137</v>
      </c>
      <c r="P26">
        <v>9.3179999999999999E-3</v>
      </c>
      <c r="Q26">
        <v>12.196453999999999</v>
      </c>
      <c r="R26">
        <v>12.205772</v>
      </c>
      <c r="S26" t="s">
        <v>137</v>
      </c>
      <c r="T26">
        <v>8.6103100000000001</v>
      </c>
      <c r="U26">
        <v>0.1696</v>
      </c>
      <c r="V26">
        <v>2.908E-3</v>
      </c>
      <c r="W26">
        <v>6.7530000000000003E-3</v>
      </c>
      <c r="X26" t="s">
        <v>137</v>
      </c>
      <c r="Y26">
        <v>58.64</v>
      </c>
      <c r="Z26" t="s">
        <v>137</v>
      </c>
      <c r="AA26">
        <v>41.36</v>
      </c>
      <c r="AB26">
        <v>0.81</v>
      </c>
      <c r="AC26">
        <v>0.01</v>
      </c>
      <c r="AD26">
        <v>0.03</v>
      </c>
      <c r="AE26" t="s">
        <v>137</v>
      </c>
    </row>
    <row r="27" spans="1:31" x14ac:dyDescent="0.3">
      <c r="A27" t="s">
        <v>31</v>
      </c>
      <c r="B27">
        <v>4</v>
      </c>
      <c r="C27" t="s">
        <v>137</v>
      </c>
      <c r="D27">
        <v>4</v>
      </c>
      <c r="E27">
        <v>3</v>
      </c>
      <c r="F27">
        <v>0.9</v>
      </c>
      <c r="G27">
        <v>0.9</v>
      </c>
      <c r="H27">
        <v>5.0000000000000001E-3</v>
      </c>
      <c r="I27">
        <v>120</v>
      </c>
      <c r="J27">
        <v>99</v>
      </c>
      <c r="K27">
        <v>7.7492279999999996</v>
      </c>
      <c r="L27">
        <v>7.2239100000000001</v>
      </c>
      <c r="M27">
        <v>116.48</v>
      </c>
      <c r="N27" t="s">
        <v>137</v>
      </c>
      <c r="O27" t="s">
        <v>137</v>
      </c>
      <c r="P27">
        <v>9.0550000000000005E-3</v>
      </c>
      <c r="Q27">
        <v>5.3944419999999997</v>
      </c>
      <c r="R27">
        <v>5.4034969999999998</v>
      </c>
      <c r="S27" t="s">
        <v>137</v>
      </c>
      <c r="T27">
        <v>2.3457309999999998</v>
      </c>
      <c r="U27">
        <v>6.2001000000000001E-2</v>
      </c>
      <c r="V27">
        <v>2.6480000000000002E-3</v>
      </c>
      <c r="W27">
        <v>2.6900000000000001E-3</v>
      </c>
      <c r="X27" t="s">
        <v>137</v>
      </c>
      <c r="Y27">
        <v>69.73</v>
      </c>
      <c r="Z27" t="s">
        <v>137</v>
      </c>
      <c r="AA27">
        <v>30.27</v>
      </c>
      <c r="AB27">
        <v>0.8</v>
      </c>
      <c r="AC27">
        <v>0.03</v>
      </c>
      <c r="AD27">
        <v>0.03</v>
      </c>
      <c r="AE27" t="s">
        <v>137</v>
      </c>
    </row>
    <row r="28" spans="1:31" x14ac:dyDescent="0.3">
      <c r="A28" t="s">
        <v>32</v>
      </c>
      <c r="B28">
        <v>4</v>
      </c>
      <c r="C28" t="s">
        <v>137</v>
      </c>
      <c r="D28">
        <v>4</v>
      </c>
      <c r="E28">
        <v>3</v>
      </c>
      <c r="F28">
        <v>0.9</v>
      </c>
      <c r="G28">
        <v>0.9</v>
      </c>
      <c r="H28">
        <v>5.0000000000000001E-3</v>
      </c>
      <c r="I28">
        <v>120</v>
      </c>
      <c r="J28">
        <v>99</v>
      </c>
      <c r="K28">
        <v>10.288948</v>
      </c>
      <c r="L28">
        <v>9.7333820000000006</v>
      </c>
      <c r="M28">
        <v>166.39</v>
      </c>
      <c r="N28" t="s">
        <v>137</v>
      </c>
      <c r="O28" t="s">
        <v>137</v>
      </c>
      <c r="P28">
        <v>9.7990000000000004E-3</v>
      </c>
      <c r="Q28">
        <v>6.7793939999999999</v>
      </c>
      <c r="R28">
        <v>6.7891940000000002</v>
      </c>
      <c r="S28" t="s">
        <v>137</v>
      </c>
      <c r="T28">
        <v>3.4997539999999998</v>
      </c>
      <c r="U28">
        <v>8.8324E-2</v>
      </c>
      <c r="V28">
        <v>2.5349999999999999E-3</v>
      </c>
      <c r="W28">
        <v>3.7200000000000002E-3</v>
      </c>
      <c r="X28" t="s">
        <v>137</v>
      </c>
      <c r="Y28">
        <v>65.989999999999995</v>
      </c>
      <c r="Z28" t="s">
        <v>137</v>
      </c>
      <c r="AA28">
        <v>34.01</v>
      </c>
      <c r="AB28">
        <v>0.86</v>
      </c>
      <c r="AC28">
        <v>0.02</v>
      </c>
      <c r="AD28">
        <v>0.04</v>
      </c>
      <c r="AE28" t="s">
        <v>137</v>
      </c>
    </row>
    <row r="29" spans="1:31" x14ac:dyDescent="0.3">
      <c r="A29" t="s">
        <v>33</v>
      </c>
      <c r="B29">
        <v>4</v>
      </c>
      <c r="C29" t="s">
        <v>137</v>
      </c>
      <c r="D29">
        <v>4</v>
      </c>
      <c r="E29">
        <v>3</v>
      </c>
      <c r="F29">
        <v>0.9</v>
      </c>
      <c r="G29">
        <v>0.9</v>
      </c>
      <c r="H29">
        <v>5.0000000000000001E-3</v>
      </c>
      <c r="I29">
        <v>120</v>
      </c>
      <c r="J29">
        <v>84</v>
      </c>
      <c r="K29">
        <v>27.550805</v>
      </c>
      <c r="L29">
        <v>28.320864</v>
      </c>
      <c r="M29">
        <v>449.94</v>
      </c>
      <c r="N29" t="s">
        <v>137</v>
      </c>
      <c r="O29" t="s">
        <v>137</v>
      </c>
      <c r="P29">
        <v>9.8029999999999992E-3</v>
      </c>
      <c r="Q29">
        <v>13.373524</v>
      </c>
      <c r="R29">
        <v>13.383327</v>
      </c>
      <c r="S29" t="s">
        <v>137</v>
      </c>
      <c r="T29">
        <v>14.167477999999999</v>
      </c>
      <c r="U29">
        <v>0.24312900000000001</v>
      </c>
      <c r="V29">
        <v>2.954E-3</v>
      </c>
      <c r="W29">
        <v>1.0364E-2</v>
      </c>
      <c r="X29" t="s">
        <v>137</v>
      </c>
      <c r="Y29">
        <v>48.58</v>
      </c>
      <c r="Z29" t="s">
        <v>137</v>
      </c>
      <c r="AA29">
        <v>51.42</v>
      </c>
      <c r="AB29">
        <v>0.88</v>
      </c>
      <c r="AC29">
        <v>0.01</v>
      </c>
      <c r="AD29">
        <v>0.04</v>
      </c>
      <c r="AE29" t="s">
        <v>137</v>
      </c>
    </row>
    <row r="30" spans="1:31" x14ac:dyDescent="0.3">
      <c r="A30" t="s">
        <v>34</v>
      </c>
      <c r="B30">
        <v>4</v>
      </c>
      <c r="C30" t="s">
        <v>137</v>
      </c>
      <c r="D30">
        <v>4</v>
      </c>
      <c r="E30">
        <v>3</v>
      </c>
      <c r="F30">
        <v>0.9</v>
      </c>
      <c r="G30">
        <v>0.9</v>
      </c>
      <c r="H30">
        <v>5.0000000000000001E-3</v>
      </c>
      <c r="I30">
        <v>120</v>
      </c>
      <c r="J30">
        <v>77</v>
      </c>
      <c r="K30">
        <v>30.186426999999998</v>
      </c>
      <c r="L30">
        <v>28.970797999999998</v>
      </c>
      <c r="M30">
        <v>542.34</v>
      </c>
      <c r="N30" t="s">
        <v>137</v>
      </c>
      <c r="O30" t="s">
        <v>137</v>
      </c>
      <c r="P30">
        <v>8.6929999999999993E-3</v>
      </c>
      <c r="Q30">
        <v>13.778366999999999</v>
      </c>
      <c r="R30">
        <v>13.787061</v>
      </c>
      <c r="S30" t="s">
        <v>137</v>
      </c>
      <c r="T30">
        <v>16.399366000000001</v>
      </c>
      <c r="U30">
        <v>0.275312</v>
      </c>
      <c r="V30">
        <v>2.941E-3</v>
      </c>
      <c r="W30">
        <v>1.0796E-2</v>
      </c>
      <c r="X30" t="s">
        <v>137</v>
      </c>
      <c r="Y30">
        <v>45.67</v>
      </c>
      <c r="Z30" t="s">
        <v>137</v>
      </c>
      <c r="AA30">
        <v>54.33</v>
      </c>
      <c r="AB30">
        <v>0.91</v>
      </c>
      <c r="AC30">
        <v>0.01</v>
      </c>
      <c r="AD30">
        <v>0.04</v>
      </c>
      <c r="AE30" t="s">
        <v>137</v>
      </c>
    </row>
    <row r="31" spans="1:31" x14ac:dyDescent="0.3">
      <c r="A31" t="s">
        <v>35</v>
      </c>
      <c r="B31">
        <v>4</v>
      </c>
      <c r="C31" t="s">
        <v>137</v>
      </c>
      <c r="D31">
        <v>4</v>
      </c>
      <c r="E31">
        <v>3</v>
      </c>
      <c r="F31">
        <v>0.9</v>
      </c>
      <c r="G31">
        <v>0.9</v>
      </c>
      <c r="H31">
        <v>5.0000000000000001E-3</v>
      </c>
      <c r="I31">
        <v>120</v>
      </c>
      <c r="J31">
        <v>96</v>
      </c>
      <c r="K31">
        <v>21.096371999999999</v>
      </c>
      <c r="L31">
        <v>20.389327000000002</v>
      </c>
      <c r="M31">
        <v>332.29</v>
      </c>
      <c r="N31" t="s">
        <v>137</v>
      </c>
      <c r="O31" t="s">
        <v>137</v>
      </c>
      <c r="P31">
        <v>9.5420000000000001E-3</v>
      </c>
      <c r="Q31">
        <v>11.575782999999999</v>
      </c>
      <c r="R31">
        <v>11.585326</v>
      </c>
      <c r="S31" t="s">
        <v>137</v>
      </c>
      <c r="T31">
        <v>9.5110469999999996</v>
      </c>
      <c r="U31">
        <v>0.17508299999999999</v>
      </c>
      <c r="V31">
        <v>2.8709999999999999E-3</v>
      </c>
      <c r="W31">
        <v>7.5259999999999997E-3</v>
      </c>
      <c r="X31" t="s">
        <v>137</v>
      </c>
      <c r="Y31">
        <v>54.92</v>
      </c>
      <c r="Z31" t="s">
        <v>137</v>
      </c>
      <c r="AA31">
        <v>45.08</v>
      </c>
      <c r="AB31">
        <v>0.83</v>
      </c>
      <c r="AC31">
        <v>0.01</v>
      </c>
      <c r="AD31">
        <v>0.04</v>
      </c>
      <c r="AE31" t="s">
        <v>137</v>
      </c>
    </row>
    <row r="32" spans="1:31" x14ac:dyDescent="0.3">
      <c r="A32" t="s">
        <v>36</v>
      </c>
      <c r="B32">
        <v>4</v>
      </c>
      <c r="C32" t="s">
        <v>137</v>
      </c>
      <c r="D32">
        <v>4</v>
      </c>
      <c r="E32">
        <v>3</v>
      </c>
      <c r="F32">
        <v>0.9</v>
      </c>
      <c r="G32">
        <v>0.9</v>
      </c>
      <c r="H32">
        <v>5.0000000000000001E-3</v>
      </c>
      <c r="I32">
        <v>120</v>
      </c>
      <c r="J32">
        <v>98</v>
      </c>
      <c r="K32">
        <v>17.546679999999999</v>
      </c>
      <c r="L32">
        <v>16.721249</v>
      </c>
      <c r="M32">
        <v>255.36</v>
      </c>
      <c r="N32" t="s">
        <v>137</v>
      </c>
      <c r="O32" t="s">
        <v>137</v>
      </c>
      <c r="P32">
        <v>9.4219999999999998E-3</v>
      </c>
      <c r="Q32">
        <v>10.479196</v>
      </c>
      <c r="R32">
        <v>10.488618000000001</v>
      </c>
      <c r="S32" t="s">
        <v>137</v>
      </c>
      <c r="T32">
        <v>7.0580619999999996</v>
      </c>
      <c r="U32">
        <v>0.14724799999999999</v>
      </c>
      <c r="V32">
        <v>3.1459999999999999E-3</v>
      </c>
      <c r="W32">
        <v>5.8469999999999998E-3</v>
      </c>
      <c r="X32" t="s">
        <v>137</v>
      </c>
      <c r="Y32">
        <v>59.78</v>
      </c>
      <c r="Z32" t="s">
        <v>137</v>
      </c>
      <c r="AA32">
        <v>40.22</v>
      </c>
      <c r="AB32">
        <v>0.84</v>
      </c>
      <c r="AC32">
        <v>0.02</v>
      </c>
      <c r="AD32">
        <v>0.03</v>
      </c>
      <c r="AE32" t="s">
        <v>137</v>
      </c>
    </row>
    <row r="33" spans="1:31" x14ac:dyDescent="0.3">
      <c r="A33" t="s">
        <v>37</v>
      </c>
      <c r="B33">
        <v>4</v>
      </c>
      <c r="C33" t="s">
        <v>137</v>
      </c>
      <c r="D33">
        <v>4</v>
      </c>
      <c r="E33">
        <v>3</v>
      </c>
      <c r="F33">
        <v>0.9</v>
      </c>
      <c r="G33">
        <v>0.9</v>
      </c>
      <c r="H33">
        <v>5.0000000000000001E-3</v>
      </c>
      <c r="I33">
        <v>120</v>
      </c>
      <c r="J33">
        <v>96</v>
      </c>
      <c r="K33">
        <v>23.998038999999999</v>
      </c>
      <c r="L33">
        <v>22.420947999999999</v>
      </c>
      <c r="M33">
        <v>413.58</v>
      </c>
      <c r="N33" t="s">
        <v>137</v>
      </c>
      <c r="O33" t="s">
        <v>137</v>
      </c>
      <c r="P33">
        <v>8.1340000000000006E-3</v>
      </c>
      <c r="Q33">
        <v>11.741429999999999</v>
      </c>
      <c r="R33">
        <v>11.749563999999999</v>
      </c>
      <c r="S33" t="s">
        <v>137</v>
      </c>
      <c r="T33">
        <v>12.248474</v>
      </c>
      <c r="U33">
        <v>0.225442</v>
      </c>
      <c r="V33">
        <v>2.9480000000000001E-3</v>
      </c>
      <c r="W33">
        <v>1.0029E-2</v>
      </c>
      <c r="X33" t="s">
        <v>137</v>
      </c>
      <c r="Y33">
        <v>48.96</v>
      </c>
      <c r="Z33" t="s">
        <v>137</v>
      </c>
      <c r="AA33">
        <v>51.04</v>
      </c>
      <c r="AB33">
        <v>0.94</v>
      </c>
      <c r="AC33">
        <v>0.01</v>
      </c>
      <c r="AD33">
        <v>0.04</v>
      </c>
      <c r="AE33" t="s">
        <v>137</v>
      </c>
    </row>
    <row r="34" spans="1:31" x14ac:dyDescent="0.3">
      <c r="A34" t="s">
        <v>38</v>
      </c>
      <c r="B34">
        <v>4</v>
      </c>
      <c r="C34" t="s">
        <v>137</v>
      </c>
      <c r="D34">
        <v>4</v>
      </c>
      <c r="E34">
        <v>3</v>
      </c>
      <c r="F34">
        <v>0.9</v>
      </c>
      <c r="G34">
        <v>0.9</v>
      </c>
      <c r="H34">
        <v>5.0000000000000001E-3</v>
      </c>
      <c r="I34">
        <v>120</v>
      </c>
      <c r="J34">
        <v>99</v>
      </c>
      <c r="K34">
        <v>9.5577500000000004</v>
      </c>
      <c r="L34">
        <v>10.654893</v>
      </c>
      <c r="M34">
        <v>112.95</v>
      </c>
      <c r="N34" t="s">
        <v>137</v>
      </c>
      <c r="O34" t="s">
        <v>137</v>
      </c>
      <c r="P34">
        <v>1.1962E-2</v>
      </c>
      <c r="Q34">
        <v>6.4790130000000001</v>
      </c>
      <c r="R34">
        <v>6.4909739999999996</v>
      </c>
      <c r="S34" t="s">
        <v>137</v>
      </c>
      <c r="T34">
        <v>3.0667749999999998</v>
      </c>
      <c r="U34">
        <v>8.1323000000000006E-2</v>
      </c>
      <c r="V34">
        <v>3.2109999999999999E-3</v>
      </c>
      <c r="W34">
        <v>2.9740000000000001E-3</v>
      </c>
      <c r="X34" t="s">
        <v>137</v>
      </c>
      <c r="Y34">
        <v>67.91</v>
      </c>
      <c r="Z34" t="s">
        <v>137</v>
      </c>
      <c r="AA34">
        <v>32.090000000000003</v>
      </c>
      <c r="AB34">
        <v>0.85</v>
      </c>
      <c r="AC34">
        <v>0.03</v>
      </c>
      <c r="AD34">
        <v>0.03</v>
      </c>
      <c r="AE34" t="s">
        <v>137</v>
      </c>
    </row>
    <row r="35" spans="1:31" x14ac:dyDescent="0.3">
      <c r="A35" t="s">
        <v>39</v>
      </c>
      <c r="B35">
        <v>4</v>
      </c>
      <c r="C35" t="s">
        <v>137</v>
      </c>
      <c r="D35">
        <v>4</v>
      </c>
      <c r="E35">
        <v>3</v>
      </c>
      <c r="F35">
        <v>0.9</v>
      </c>
      <c r="G35">
        <v>0.9</v>
      </c>
      <c r="H35">
        <v>5.0000000000000001E-3</v>
      </c>
      <c r="I35">
        <v>120</v>
      </c>
      <c r="J35">
        <v>99</v>
      </c>
      <c r="K35">
        <v>14.547058</v>
      </c>
      <c r="L35">
        <v>19.141756000000001</v>
      </c>
      <c r="M35">
        <v>237.27</v>
      </c>
      <c r="N35" t="s">
        <v>137</v>
      </c>
      <c r="O35" t="s">
        <v>137</v>
      </c>
      <c r="P35">
        <v>7.8359999999999992E-3</v>
      </c>
      <c r="Q35">
        <v>7.7167180000000002</v>
      </c>
      <c r="R35">
        <v>7.7245540000000004</v>
      </c>
      <c r="S35" t="s">
        <v>137</v>
      </c>
      <c r="T35">
        <v>6.8225040000000003</v>
      </c>
      <c r="U35">
        <v>0.126663</v>
      </c>
      <c r="V35">
        <v>2.591E-3</v>
      </c>
      <c r="W35">
        <v>5.0679999999999996E-3</v>
      </c>
      <c r="X35" t="s">
        <v>137</v>
      </c>
      <c r="Y35">
        <v>53.1</v>
      </c>
      <c r="Z35" t="s">
        <v>137</v>
      </c>
      <c r="AA35">
        <v>46.9</v>
      </c>
      <c r="AB35">
        <v>0.87</v>
      </c>
      <c r="AC35">
        <v>0.02</v>
      </c>
      <c r="AD35">
        <v>0.03</v>
      </c>
      <c r="AE35" t="s">
        <v>137</v>
      </c>
    </row>
    <row r="36" spans="1:31" x14ac:dyDescent="0.3">
      <c r="A36" t="s">
        <v>40</v>
      </c>
      <c r="B36">
        <v>4</v>
      </c>
      <c r="C36" t="s">
        <v>137</v>
      </c>
      <c r="D36">
        <v>4</v>
      </c>
      <c r="E36">
        <v>3</v>
      </c>
      <c r="F36">
        <v>0.9</v>
      </c>
      <c r="G36">
        <v>0.9</v>
      </c>
      <c r="H36">
        <v>5.0000000000000001E-3</v>
      </c>
      <c r="I36">
        <v>120</v>
      </c>
      <c r="J36">
        <v>83</v>
      </c>
      <c r="K36">
        <v>34.155419000000002</v>
      </c>
      <c r="L36">
        <v>28.081717999999999</v>
      </c>
      <c r="M36">
        <v>652.16999999999996</v>
      </c>
      <c r="N36" t="s">
        <v>137</v>
      </c>
      <c r="O36" t="s">
        <v>137</v>
      </c>
      <c r="P36">
        <v>7.5199999999999998E-3</v>
      </c>
      <c r="Q36">
        <v>12.831787</v>
      </c>
      <c r="R36">
        <v>12.839307</v>
      </c>
      <c r="S36" t="s">
        <v>137</v>
      </c>
      <c r="T36">
        <v>21.316112</v>
      </c>
      <c r="U36">
        <v>0.31910899999999998</v>
      </c>
      <c r="V36">
        <v>2.7989999999999998E-3</v>
      </c>
      <c r="W36">
        <v>1.2041E-2</v>
      </c>
      <c r="X36" t="s">
        <v>137</v>
      </c>
      <c r="Y36">
        <v>37.590000000000003</v>
      </c>
      <c r="Z36" t="s">
        <v>137</v>
      </c>
      <c r="AA36">
        <v>62.41</v>
      </c>
      <c r="AB36">
        <v>0.93</v>
      </c>
      <c r="AC36">
        <v>0.01</v>
      </c>
      <c r="AD36">
        <v>0.04</v>
      </c>
      <c r="AE36" t="s">
        <v>137</v>
      </c>
    </row>
    <row r="37" spans="1:31" x14ac:dyDescent="0.3">
      <c r="A37" t="s">
        <v>41</v>
      </c>
      <c r="B37">
        <v>4</v>
      </c>
      <c r="C37" t="s">
        <v>137</v>
      </c>
      <c r="D37">
        <v>4</v>
      </c>
      <c r="E37">
        <v>3</v>
      </c>
      <c r="F37">
        <v>0.9</v>
      </c>
      <c r="G37">
        <v>0.9</v>
      </c>
      <c r="H37">
        <v>5.0000000000000001E-3</v>
      </c>
      <c r="I37">
        <v>120</v>
      </c>
      <c r="J37">
        <v>100</v>
      </c>
      <c r="K37">
        <v>7.2662050000000002</v>
      </c>
      <c r="L37">
        <v>9.1658679999999997</v>
      </c>
      <c r="M37">
        <v>135.07</v>
      </c>
      <c r="N37" t="s">
        <v>137</v>
      </c>
      <c r="O37" t="s">
        <v>137</v>
      </c>
      <c r="P37">
        <v>7.0419999999999996E-3</v>
      </c>
      <c r="Q37">
        <v>4.6932600000000004</v>
      </c>
      <c r="R37">
        <v>4.7003009999999996</v>
      </c>
      <c r="S37" t="s">
        <v>137</v>
      </c>
      <c r="T37">
        <v>2.5659040000000002</v>
      </c>
      <c r="U37">
        <v>6.0158000000000003E-2</v>
      </c>
      <c r="V37">
        <v>2.2569999999999999E-3</v>
      </c>
      <c r="W37">
        <v>2.506E-3</v>
      </c>
      <c r="X37" t="s">
        <v>137</v>
      </c>
      <c r="Y37">
        <v>64.69</v>
      </c>
      <c r="Z37" t="s">
        <v>137</v>
      </c>
      <c r="AA37">
        <v>35.31</v>
      </c>
      <c r="AB37">
        <v>0.83</v>
      </c>
      <c r="AC37">
        <v>0.03</v>
      </c>
      <c r="AD37">
        <v>0.03</v>
      </c>
      <c r="AE37" t="s">
        <v>137</v>
      </c>
    </row>
    <row r="38" spans="1:31" x14ac:dyDescent="0.3">
      <c r="A38" t="s">
        <v>42</v>
      </c>
      <c r="B38">
        <v>4</v>
      </c>
      <c r="C38" t="s">
        <v>137</v>
      </c>
      <c r="D38">
        <v>4</v>
      </c>
      <c r="E38">
        <v>3</v>
      </c>
      <c r="F38">
        <v>0.9</v>
      </c>
      <c r="G38">
        <v>0.9</v>
      </c>
      <c r="H38">
        <v>5.0000000000000001E-3</v>
      </c>
      <c r="I38">
        <v>120</v>
      </c>
      <c r="J38">
        <v>100</v>
      </c>
      <c r="K38">
        <v>9.0627589999999998</v>
      </c>
      <c r="L38">
        <v>8.7032539999999994</v>
      </c>
      <c r="M38">
        <v>147.93</v>
      </c>
      <c r="N38" t="s">
        <v>137</v>
      </c>
      <c r="O38" t="s">
        <v>137</v>
      </c>
      <c r="P38">
        <v>8.8559999999999993E-3</v>
      </c>
      <c r="Q38">
        <v>5.9253669999999996</v>
      </c>
      <c r="R38">
        <v>5.9342230000000002</v>
      </c>
      <c r="S38" t="s">
        <v>137</v>
      </c>
      <c r="T38">
        <v>3.128536</v>
      </c>
      <c r="U38">
        <v>8.0598000000000003E-2</v>
      </c>
      <c r="V38">
        <v>2.6029999999999998E-3</v>
      </c>
      <c r="W38">
        <v>3.4290000000000002E-3</v>
      </c>
      <c r="X38" t="s">
        <v>137</v>
      </c>
      <c r="Y38">
        <v>65.48</v>
      </c>
      <c r="Z38" t="s">
        <v>137</v>
      </c>
      <c r="AA38">
        <v>34.520000000000003</v>
      </c>
      <c r="AB38">
        <v>0.89</v>
      </c>
      <c r="AC38">
        <v>0.03</v>
      </c>
      <c r="AD38">
        <v>0.04</v>
      </c>
      <c r="AE38" t="s">
        <v>137</v>
      </c>
    </row>
    <row r="39" spans="1:31" x14ac:dyDescent="0.3">
      <c r="A39" t="s">
        <v>43</v>
      </c>
      <c r="B39">
        <v>4</v>
      </c>
      <c r="C39" t="s">
        <v>137</v>
      </c>
      <c r="D39">
        <v>4</v>
      </c>
      <c r="E39">
        <v>3</v>
      </c>
      <c r="F39">
        <v>0.9</v>
      </c>
      <c r="G39">
        <v>0.9</v>
      </c>
      <c r="H39">
        <v>5.0000000000000001E-3</v>
      </c>
      <c r="I39">
        <v>120</v>
      </c>
      <c r="J39">
        <v>100</v>
      </c>
      <c r="K39">
        <v>6.2365089999999999</v>
      </c>
      <c r="L39">
        <v>6.1844830000000002</v>
      </c>
      <c r="M39">
        <v>107.31</v>
      </c>
      <c r="N39" t="s">
        <v>137</v>
      </c>
      <c r="O39" t="s">
        <v>137</v>
      </c>
      <c r="P39">
        <v>7.3850000000000001E-3</v>
      </c>
      <c r="Q39">
        <v>4.315239</v>
      </c>
      <c r="R39">
        <v>4.3226240000000002</v>
      </c>
      <c r="S39" t="s">
        <v>137</v>
      </c>
      <c r="T39">
        <v>1.913886</v>
      </c>
      <c r="U39">
        <v>5.1003E-2</v>
      </c>
      <c r="V39">
        <v>2.3240000000000001E-3</v>
      </c>
      <c r="W39">
        <v>2.0739999999999999E-3</v>
      </c>
      <c r="X39" t="s">
        <v>137</v>
      </c>
      <c r="Y39">
        <v>69.31</v>
      </c>
      <c r="Z39" t="s">
        <v>137</v>
      </c>
      <c r="AA39">
        <v>30.69</v>
      </c>
      <c r="AB39">
        <v>0.82</v>
      </c>
      <c r="AC39">
        <v>0.04</v>
      </c>
      <c r="AD39">
        <v>0.03</v>
      </c>
      <c r="AE39" t="s">
        <v>137</v>
      </c>
    </row>
    <row r="40" spans="1:31" x14ac:dyDescent="0.3">
      <c r="A40" t="s">
        <v>44</v>
      </c>
      <c r="B40">
        <v>4</v>
      </c>
      <c r="C40" t="s">
        <v>137</v>
      </c>
      <c r="D40">
        <v>4</v>
      </c>
      <c r="E40">
        <v>3</v>
      </c>
      <c r="F40">
        <v>0.9</v>
      </c>
      <c r="G40">
        <v>0.9</v>
      </c>
      <c r="H40">
        <v>5.0000000000000001E-3</v>
      </c>
      <c r="I40">
        <v>120</v>
      </c>
      <c r="J40">
        <v>98</v>
      </c>
      <c r="K40">
        <v>13.873308</v>
      </c>
      <c r="L40">
        <v>17.886634999999998</v>
      </c>
      <c r="M40">
        <v>272.27</v>
      </c>
      <c r="N40" t="s">
        <v>137</v>
      </c>
      <c r="O40" t="s">
        <v>137</v>
      </c>
      <c r="P40">
        <v>6.9329999999999999E-3</v>
      </c>
      <c r="Q40">
        <v>7.1799710000000001</v>
      </c>
      <c r="R40">
        <v>7.1869040000000002</v>
      </c>
      <c r="S40" t="s">
        <v>137</v>
      </c>
      <c r="T40">
        <v>6.6864039999999996</v>
      </c>
      <c r="U40">
        <v>0.118266</v>
      </c>
      <c r="V40">
        <v>2.2620000000000001E-3</v>
      </c>
      <c r="W40">
        <v>5.3239999999999997E-3</v>
      </c>
      <c r="X40" t="s">
        <v>137</v>
      </c>
      <c r="Y40">
        <v>51.8</v>
      </c>
      <c r="Z40" t="s">
        <v>137</v>
      </c>
      <c r="AA40">
        <v>48.2</v>
      </c>
      <c r="AB40">
        <v>0.85</v>
      </c>
      <c r="AC40">
        <v>0.02</v>
      </c>
      <c r="AD40">
        <v>0.04</v>
      </c>
      <c r="AE40" t="s">
        <v>137</v>
      </c>
    </row>
    <row r="41" spans="1:31" x14ac:dyDescent="0.3">
      <c r="A41" t="s">
        <v>45</v>
      </c>
      <c r="B41">
        <v>4</v>
      </c>
      <c r="C41" t="s">
        <v>137</v>
      </c>
      <c r="D41">
        <v>4</v>
      </c>
      <c r="E41">
        <v>3</v>
      </c>
      <c r="F41">
        <v>0.9</v>
      </c>
      <c r="G41">
        <v>0.9</v>
      </c>
      <c r="H41">
        <v>5.0000000000000001E-3</v>
      </c>
      <c r="I41">
        <v>120</v>
      </c>
      <c r="J41">
        <v>100</v>
      </c>
      <c r="K41">
        <v>10.543021</v>
      </c>
      <c r="L41">
        <v>9.769933</v>
      </c>
      <c r="M41">
        <v>183.27</v>
      </c>
      <c r="N41" t="s">
        <v>137</v>
      </c>
      <c r="O41" t="s">
        <v>137</v>
      </c>
      <c r="P41">
        <v>7.5859999999999999E-3</v>
      </c>
      <c r="Q41">
        <v>6.5332049999999997</v>
      </c>
      <c r="R41">
        <v>6.5407909999999996</v>
      </c>
      <c r="S41" t="s">
        <v>137</v>
      </c>
      <c r="T41">
        <v>4.0022289999999998</v>
      </c>
      <c r="U41">
        <v>9.1449000000000003E-2</v>
      </c>
      <c r="V41">
        <v>2.6830000000000001E-3</v>
      </c>
      <c r="W41">
        <v>3.7439999999999999E-3</v>
      </c>
      <c r="X41" t="s">
        <v>137</v>
      </c>
      <c r="Y41">
        <v>62.04</v>
      </c>
      <c r="Z41" t="s">
        <v>137</v>
      </c>
      <c r="AA41">
        <v>37.96</v>
      </c>
      <c r="AB41">
        <v>0.87</v>
      </c>
      <c r="AC41">
        <v>0.03</v>
      </c>
      <c r="AD41">
        <v>0.04</v>
      </c>
      <c r="AE41" t="s">
        <v>137</v>
      </c>
    </row>
    <row r="42" spans="1:31" x14ac:dyDescent="0.3">
      <c r="A42" t="s">
        <v>46</v>
      </c>
      <c r="B42">
        <v>4</v>
      </c>
      <c r="C42" t="s">
        <v>137</v>
      </c>
      <c r="D42">
        <v>4</v>
      </c>
      <c r="E42">
        <v>3</v>
      </c>
      <c r="F42">
        <v>0.9</v>
      </c>
      <c r="G42">
        <v>0.9</v>
      </c>
      <c r="H42">
        <v>5.0000000000000001E-3</v>
      </c>
      <c r="I42">
        <v>120</v>
      </c>
      <c r="J42">
        <v>100</v>
      </c>
      <c r="K42">
        <v>12.238474</v>
      </c>
      <c r="L42">
        <v>14.421006</v>
      </c>
      <c r="M42">
        <v>334.37</v>
      </c>
      <c r="N42" t="s">
        <v>137</v>
      </c>
      <c r="O42" t="s">
        <v>137</v>
      </c>
      <c r="P42">
        <v>4.6899999999999997E-3</v>
      </c>
      <c r="Q42">
        <v>6.1611010000000004</v>
      </c>
      <c r="R42">
        <v>6.1657909999999996</v>
      </c>
      <c r="S42" t="s">
        <v>137</v>
      </c>
      <c r="T42">
        <v>6.0726829999999996</v>
      </c>
      <c r="U42">
        <v>0.103337</v>
      </c>
      <c r="V42">
        <v>1.6260000000000001E-3</v>
      </c>
      <c r="W42">
        <v>4.1529999999999996E-3</v>
      </c>
      <c r="X42" t="s">
        <v>137</v>
      </c>
      <c r="Y42">
        <v>50.38</v>
      </c>
      <c r="Z42" t="s">
        <v>137</v>
      </c>
      <c r="AA42">
        <v>49.62</v>
      </c>
      <c r="AB42">
        <v>0.84</v>
      </c>
      <c r="AC42">
        <v>0.01</v>
      </c>
      <c r="AD42">
        <v>0.03</v>
      </c>
      <c r="AE42" t="s">
        <v>137</v>
      </c>
    </row>
    <row r="43" spans="1:31" x14ac:dyDescent="0.3">
      <c r="A43" t="s">
        <v>47</v>
      </c>
      <c r="B43">
        <v>4</v>
      </c>
      <c r="C43" t="s">
        <v>137</v>
      </c>
      <c r="D43">
        <v>4</v>
      </c>
      <c r="E43">
        <v>3</v>
      </c>
      <c r="F43">
        <v>0.9</v>
      </c>
      <c r="G43">
        <v>0.9</v>
      </c>
      <c r="H43">
        <v>5.0000000000000001E-3</v>
      </c>
      <c r="I43">
        <v>120</v>
      </c>
      <c r="J43">
        <v>98</v>
      </c>
      <c r="K43">
        <v>10.259650000000001</v>
      </c>
      <c r="L43">
        <v>15.95452</v>
      </c>
      <c r="M43">
        <v>326.67</v>
      </c>
      <c r="N43" t="s">
        <v>137</v>
      </c>
      <c r="O43" t="s">
        <v>137</v>
      </c>
      <c r="P43">
        <v>4.4349999999999997E-3</v>
      </c>
      <c r="Q43">
        <v>4.8270720000000003</v>
      </c>
      <c r="R43">
        <v>4.8315080000000004</v>
      </c>
      <c r="S43" t="s">
        <v>137</v>
      </c>
      <c r="T43">
        <v>5.4281430000000004</v>
      </c>
      <c r="U43">
        <v>9.2830999999999997E-2</v>
      </c>
      <c r="V43">
        <v>1.487E-3</v>
      </c>
      <c r="W43">
        <v>2.9510000000000001E-3</v>
      </c>
      <c r="X43" t="s">
        <v>137</v>
      </c>
      <c r="Y43">
        <v>47.09</v>
      </c>
      <c r="Z43" t="s">
        <v>137</v>
      </c>
      <c r="AA43">
        <v>52.91</v>
      </c>
      <c r="AB43">
        <v>0.9</v>
      </c>
      <c r="AC43">
        <v>0.01</v>
      </c>
      <c r="AD43">
        <v>0.03</v>
      </c>
      <c r="AE43" t="s">
        <v>137</v>
      </c>
    </row>
    <row r="44" spans="1:31" x14ac:dyDescent="0.3">
      <c r="A44" t="s">
        <v>48</v>
      </c>
      <c r="B44">
        <v>4</v>
      </c>
      <c r="C44" t="s">
        <v>137</v>
      </c>
      <c r="D44">
        <v>4</v>
      </c>
      <c r="E44">
        <v>3</v>
      </c>
      <c r="F44">
        <v>0.9</v>
      </c>
      <c r="G44">
        <v>0.9</v>
      </c>
      <c r="H44">
        <v>5.0000000000000001E-3</v>
      </c>
      <c r="I44">
        <v>120</v>
      </c>
      <c r="J44">
        <v>100</v>
      </c>
      <c r="K44">
        <v>6.0346390000000003</v>
      </c>
      <c r="L44">
        <v>5.3747069999999999</v>
      </c>
      <c r="M44">
        <v>177.63</v>
      </c>
      <c r="N44" t="s">
        <v>137</v>
      </c>
      <c r="O44" t="s">
        <v>137</v>
      </c>
      <c r="P44">
        <v>4.2509999999999996E-3</v>
      </c>
      <c r="Q44">
        <v>3.8221539999999998</v>
      </c>
      <c r="R44">
        <v>3.8264040000000001</v>
      </c>
      <c r="S44" t="s">
        <v>137</v>
      </c>
      <c r="T44">
        <v>2.2082350000000002</v>
      </c>
      <c r="U44">
        <v>4.9222000000000002E-2</v>
      </c>
      <c r="V44">
        <v>1.3799999999999999E-3</v>
      </c>
      <c r="W44">
        <v>1.7279999999999999E-3</v>
      </c>
      <c r="X44" t="s">
        <v>137</v>
      </c>
      <c r="Y44">
        <v>63.41</v>
      </c>
      <c r="Z44" t="s">
        <v>137</v>
      </c>
      <c r="AA44">
        <v>36.590000000000003</v>
      </c>
      <c r="AB44">
        <v>0.82</v>
      </c>
      <c r="AC44">
        <v>0.02</v>
      </c>
      <c r="AD44">
        <v>0.03</v>
      </c>
      <c r="AE44" t="s">
        <v>137</v>
      </c>
    </row>
    <row r="45" spans="1:31" x14ac:dyDescent="0.3">
      <c r="A45" t="s">
        <v>49</v>
      </c>
      <c r="B45">
        <v>4</v>
      </c>
      <c r="C45" t="s">
        <v>137</v>
      </c>
      <c r="D45">
        <v>4</v>
      </c>
      <c r="E45">
        <v>3</v>
      </c>
      <c r="F45">
        <v>0.9</v>
      </c>
      <c r="G45">
        <v>0.9</v>
      </c>
      <c r="H45">
        <v>5.0000000000000001E-3</v>
      </c>
      <c r="I45">
        <v>120</v>
      </c>
      <c r="J45">
        <v>96</v>
      </c>
      <c r="K45">
        <v>18.670200999999999</v>
      </c>
      <c r="L45">
        <v>22.5351</v>
      </c>
      <c r="M45">
        <v>352.34</v>
      </c>
      <c r="N45" t="s">
        <v>137</v>
      </c>
      <c r="O45" t="s">
        <v>137</v>
      </c>
      <c r="P45">
        <v>7.6030000000000004E-3</v>
      </c>
      <c r="Q45">
        <v>8.4235699999999998</v>
      </c>
      <c r="R45">
        <v>8.4311729999999994</v>
      </c>
      <c r="S45" t="s">
        <v>137</v>
      </c>
      <c r="T45">
        <v>10.239027999999999</v>
      </c>
      <c r="U45">
        <v>0.17374200000000001</v>
      </c>
      <c r="V45">
        <v>2.6120000000000002E-3</v>
      </c>
      <c r="W45">
        <v>7.9050000000000006E-3</v>
      </c>
      <c r="X45" t="s">
        <v>137</v>
      </c>
      <c r="Y45">
        <v>45.16</v>
      </c>
      <c r="Z45" t="s">
        <v>137</v>
      </c>
      <c r="AA45">
        <v>54.84</v>
      </c>
      <c r="AB45">
        <v>0.93</v>
      </c>
      <c r="AC45">
        <v>0.01</v>
      </c>
      <c r="AD45">
        <v>0.04</v>
      </c>
      <c r="AE45" t="s">
        <v>137</v>
      </c>
    </row>
    <row r="46" spans="1:31" x14ac:dyDescent="0.3">
      <c r="A46" t="s">
        <v>50</v>
      </c>
      <c r="B46">
        <v>4</v>
      </c>
      <c r="C46" t="s">
        <v>137</v>
      </c>
      <c r="D46">
        <v>4</v>
      </c>
      <c r="E46">
        <v>3</v>
      </c>
      <c r="F46">
        <v>0.9</v>
      </c>
      <c r="G46">
        <v>0.9</v>
      </c>
      <c r="H46">
        <v>5.0000000000000001E-3</v>
      </c>
      <c r="I46">
        <v>120</v>
      </c>
      <c r="J46">
        <v>100</v>
      </c>
      <c r="K46">
        <v>6.0003900000000003</v>
      </c>
      <c r="L46">
        <v>6.7012999999999998</v>
      </c>
      <c r="M46">
        <v>194.3</v>
      </c>
      <c r="N46" t="s">
        <v>137</v>
      </c>
      <c r="O46" t="s">
        <v>137</v>
      </c>
      <c r="P46">
        <v>4.4219999999999997E-3</v>
      </c>
      <c r="Q46">
        <v>3.4954109999999998</v>
      </c>
      <c r="R46">
        <v>3.4998330000000002</v>
      </c>
      <c r="S46" t="s">
        <v>137</v>
      </c>
      <c r="T46">
        <v>2.5005570000000001</v>
      </c>
      <c r="U46">
        <v>5.4046999999999998E-2</v>
      </c>
      <c r="V46">
        <v>1.3849999999999999E-3</v>
      </c>
      <c r="W46">
        <v>1.848E-3</v>
      </c>
      <c r="X46" t="s">
        <v>137</v>
      </c>
      <c r="Y46">
        <v>58.33</v>
      </c>
      <c r="Z46" t="s">
        <v>137</v>
      </c>
      <c r="AA46">
        <v>41.67</v>
      </c>
      <c r="AB46">
        <v>0.9</v>
      </c>
      <c r="AC46">
        <v>0.02</v>
      </c>
      <c r="AD46">
        <v>0.03</v>
      </c>
      <c r="AE46" t="s">
        <v>137</v>
      </c>
    </row>
    <row r="47" spans="1:31" x14ac:dyDescent="0.3">
      <c r="A47" t="s">
        <v>51</v>
      </c>
      <c r="B47">
        <v>4</v>
      </c>
      <c r="C47" t="s">
        <v>137</v>
      </c>
      <c r="D47">
        <v>4</v>
      </c>
      <c r="E47">
        <v>3</v>
      </c>
      <c r="F47">
        <v>0.9</v>
      </c>
      <c r="G47">
        <v>0.9</v>
      </c>
      <c r="H47">
        <v>5.0000000000000001E-3</v>
      </c>
      <c r="I47">
        <v>120</v>
      </c>
      <c r="J47">
        <v>79</v>
      </c>
      <c r="K47">
        <v>29.309183999999998</v>
      </c>
      <c r="L47">
        <v>32.504510000000003</v>
      </c>
      <c r="M47">
        <v>884.97</v>
      </c>
      <c r="N47" t="s">
        <v>137</v>
      </c>
      <c r="O47" t="s">
        <v>137</v>
      </c>
      <c r="P47">
        <v>4.2449999999999996E-3</v>
      </c>
      <c r="Q47">
        <v>8.7344709999999992</v>
      </c>
      <c r="R47">
        <v>8.7387160000000002</v>
      </c>
      <c r="S47" t="s">
        <v>137</v>
      </c>
      <c r="T47">
        <v>20.570468000000002</v>
      </c>
      <c r="U47">
        <v>0.24807799999999999</v>
      </c>
      <c r="V47">
        <v>1.6050000000000001E-3</v>
      </c>
      <c r="W47">
        <v>7.9900000000000006E-3</v>
      </c>
      <c r="X47" t="s">
        <v>137</v>
      </c>
      <c r="Y47">
        <v>29.82</v>
      </c>
      <c r="Z47" t="s">
        <v>137</v>
      </c>
      <c r="AA47">
        <v>70.180000000000007</v>
      </c>
      <c r="AB47">
        <v>0.85</v>
      </c>
      <c r="AC47">
        <v>0.01</v>
      </c>
      <c r="AD47">
        <v>0.03</v>
      </c>
      <c r="AE47" t="s">
        <v>137</v>
      </c>
    </row>
    <row r="48" spans="1:31" x14ac:dyDescent="0.3">
      <c r="A48" t="s">
        <v>52</v>
      </c>
      <c r="B48">
        <v>4</v>
      </c>
      <c r="C48" t="s">
        <v>137</v>
      </c>
      <c r="D48">
        <v>4</v>
      </c>
      <c r="E48">
        <v>3</v>
      </c>
      <c r="F48">
        <v>0.9</v>
      </c>
      <c r="G48">
        <v>0.9</v>
      </c>
      <c r="H48">
        <v>5.0000000000000001E-3</v>
      </c>
      <c r="I48">
        <v>120</v>
      </c>
      <c r="J48">
        <v>100</v>
      </c>
      <c r="K48">
        <v>6.4763109999999999</v>
      </c>
      <c r="L48">
        <v>6.6769769999999999</v>
      </c>
      <c r="M48">
        <v>190.58</v>
      </c>
      <c r="N48" t="s">
        <v>137</v>
      </c>
      <c r="O48" t="s">
        <v>137</v>
      </c>
      <c r="P48">
        <v>4.2360000000000002E-3</v>
      </c>
      <c r="Q48">
        <v>3.8502100000000001</v>
      </c>
      <c r="R48">
        <v>3.8544459999999998</v>
      </c>
      <c r="S48" t="s">
        <v>137</v>
      </c>
      <c r="T48">
        <v>2.6218659999999998</v>
      </c>
      <c r="U48">
        <v>5.33E-2</v>
      </c>
      <c r="V48">
        <v>1.4270000000000001E-3</v>
      </c>
      <c r="W48">
        <v>1.895E-3</v>
      </c>
      <c r="X48" t="s">
        <v>137</v>
      </c>
      <c r="Y48">
        <v>59.52</v>
      </c>
      <c r="Z48" t="s">
        <v>137</v>
      </c>
      <c r="AA48">
        <v>40.479999999999997</v>
      </c>
      <c r="AB48">
        <v>0.82</v>
      </c>
      <c r="AC48">
        <v>0.02</v>
      </c>
      <c r="AD48">
        <v>0.03</v>
      </c>
      <c r="AE48" t="s">
        <v>137</v>
      </c>
    </row>
    <row r="49" spans="1:31" x14ac:dyDescent="0.3">
      <c r="A49" t="s">
        <v>53</v>
      </c>
      <c r="B49">
        <v>4</v>
      </c>
      <c r="C49" t="s">
        <v>137</v>
      </c>
      <c r="D49">
        <v>4</v>
      </c>
      <c r="E49">
        <v>3</v>
      </c>
      <c r="F49">
        <v>0.9</v>
      </c>
      <c r="G49">
        <v>0.9</v>
      </c>
      <c r="H49">
        <v>5.0000000000000001E-3</v>
      </c>
      <c r="I49">
        <v>120</v>
      </c>
      <c r="J49">
        <v>100</v>
      </c>
      <c r="K49">
        <v>5.9011110000000002</v>
      </c>
      <c r="L49">
        <v>6.2076450000000003</v>
      </c>
      <c r="M49">
        <v>169.84</v>
      </c>
      <c r="N49" t="s">
        <v>137</v>
      </c>
      <c r="O49" t="s">
        <v>137</v>
      </c>
      <c r="P49">
        <v>4.2379999999999996E-3</v>
      </c>
      <c r="Q49">
        <v>3.6808179999999999</v>
      </c>
      <c r="R49">
        <v>3.6850559999999999</v>
      </c>
      <c r="S49" t="s">
        <v>137</v>
      </c>
      <c r="T49">
        <v>2.2160540000000002</v>
      </c>
      <c r="U49">
        <v>4.7410000000000001E-2</v>
      </c>
      <c r="V49">
        <v>1.5200000000000001E-3</v>
      </c>
      <c r="W49">
        <v>1.634E-3</v>
      </c>
      <c r="X49" t="s">
        <v>137</v>
      </c>
      <c r="Y49">
        <v>62.45</v>
      </c>
      <c r="Z49" t="s">
        <v>137</v>
      </c>
      <c r="AA49">
        <v>37.549999999999997</v>
      </c>
      <c r="AB49">
        <v>0.8</v>
      </c>
      <c r="AC49">
        <v>0.03</v>
      </c>
      <c r="AD49">
        <v>0.03</v>
      </c>
      <c r="AE49" t="s">
        <v>137</v>
      </c>
    </row>
    <row r="50" spans="1:31" x14ac:dyDescent="0.3">
      <c r="A50" t="s">
        <v>54</v>
      </c>
      <c r="B50">
        <v>4</v>
      </c>
      <c r="C50" t="s">
        <v>137</v>
      </c>
      <c r="D50">
        <v>4</v>
      </c>
      <c r="E50">
        <v>3</v>
      </c>
      <c r="F50">
        <v>0.9</v>
      </c>
      <c r="G50">
        <v>0.9</v>
      </c>
      <c r="H50">
        <v>5.0000000000000001E-3</v>
      </c>
      <c r="I50">
        <v>120</v>
      </c>
      <c r="J50">
        <v>99</v>
      </c>
      <c r="K50">
        <v>11.059424</v>
      </c>
      <c r="L50">
        <v>15.23019</v>
      </c>
      <c r="M50">
        <v>251.26</v>
      </c>
      <c r="N50" t="s">
        <v>137</v>
      </c>
      <c r="O50" t="s">
        <v>137</v>
      </c>
      <c r="P50">
        <v>5.9059999999999998E-3</v>
      </c>
      <c r="Q50">
        <v>5.6945119999999996</v>
      </c>
      <c r="R50">
        <v>5.7004169999999998</v>
      </c>
      <c r="S50" t="s">
        <v>137</v>
      </c>
      <c r="T50">
        <v>5.3590070000000001</v>
      </c>
      <c r="U50">
        <v>9.2118000000000005E-2</v>
      </c>
      <c r="V50">
        <v>1.8699999999999999E-3</v>
      </c>
      <c r="W50">
        <v>3.679E-3</v>
      </c>
      <c r="X50" t="s">
        <v>137</v>
      </c>
      <c r="Y50">
        <v>51.54</v>
      </c>
      <c r="Z50" t="s">
        <v>137</v>
      </c>
      <c r="AA50">
        <v>48.46</v>
      </c>
      <c r="AB50">
        <v>0.83</v>
      </c>
      <c r="AC50">
        <v>0.02</v>
      </c>
      <c r="AD50">
        <v>0.03</v>
      </c>
      <c r="AE50" t="s">
        <v>137</v>
      </c>
    </row>
    <row r="51" spans="1:31" x14ac:dyDescent="0.3">
      <c r="A51" t="s">
        <v>55</v>
      </c>
      <c r="B51">
        <v>4</v>
      </c>
      <c r="C51" t="s">
        <v>137</v>
      </c>
      <c r="D51">
        <v>4</v>
      </c>
      <c r="E51">
        <v>3</v>
      </c>
      <c r="F51">
        <v>0.9</v>
      </c>
      <c r="G51">
        <v>0.9</v>
      </c>
      <c r="H51">
        <v>5.0000000000000001E-3</v>
      </c>
      <c r="I51">
        <v>120</v>
      </c>
      <c r="J51">
        <v>96</v>
      </c>
      <c r="K51">
        <v>9.5812109999999997</v>
      </c>
      <c r="L51">
        <v>14.841212000000001</v>
      </c>
      <c r="M51">
        <v>224.51</v>
      </c>
      <c r="N51" t="s">
        <v>137</v>
      </c>
      <c r="O51" t="s">
        <v>137</v>
      </c>
      <c r="P51">
        <v>6.313E-3</v>
      </c>
      <c r="Q51">
        <v>5.0710870000000003</v>
      </c>
      <c r="R51">
        <v>5.0773999999999999</v>
      </c>
      <c r="S51" t="s">
        <v>137</v>
      </c>
      <c r="T51">
        <v>4.5038109999999998</v>
      </c>
      <c r="U51">
        <v>8.8331999999999994E-2</v>
      </c>
      <c r="V51">
        <v>1.9580000000000001E-3</v>
      </c>
      <c r="W51">
        <v>3.5200000000000001E-3</v>
      </c>
      <c r="X51" t="s">
        <v>137</v>
      </c>
      <c r="Y51">
        <v>52.99</v>
      </c>
      <c r="Z51" t="s">
        <v>137</v>
      </c>
      <c r="AA51">
        <v>47.01</v>
      </c>
      <c r="AB51">
        <v>0.92</v>
      </c>
      <c r="AC51">
        <v>0.02</v>
      </c>
      <c r="AD51">
        <v>0.04</v>
      </c>
      <c r="AE51" t="s">
        <v>137</v>
      </c>
    </row>
    <row r="52" spans="1:31" x14ac:dyDescent="0.3">
      <c r="A52" t="s">
        <v>56</v>
      </c>
      <c r="B52">
        <v>4</v>
      </c>
      <c r="C52" t="s">
        <v>137</v>
      </c>
      <c r="D52">
        <v>4</v>
      </c>
      <c r="E52">
        <v>3</v>
      </c>
      <c r="F52">
        <v>0.9</v>
      </c>
      <c r="G52">
        <v>0.9</v>
      </c>
      <c r="H52">
        <v>5.0000000000000001E-3</v>
      </c>
      <c r="I52">
        <v>120</v>
      </c>
      <c r="J52">
        <v>97</v>
      </c>
      <c r="K52">
        <v>13.060961000000001</v>
      </c>
      <c r="L52">
        <v>14.409735</v>
      </c>
      <c r="M52">
        <v>212.74</v>
      </c>
      <c r="N52" t="s">
        <v>137</v>
      </c>
      <c r="O52" t="s">
        <v>137</v>
      </c>
      <c r="P52">
        <v>7.9159999999999994E-3</v>
      </c>
      <c r="Q52">
        <v>7.345129</v>
      </c>
      <c r="R52">
        <v>7.3530449999999998</v>
      </c>
      <c r="S52" t="s">
        <v>137</v>
      </c>
      <c r="T52">
        <v>5.707916</v>
      </c>
      <c r="U52">
        <v>0.115269</v>
      </c>
      <c r="V52">
        <v>2.8660000000000001E-3</v>
      </c>
      <c r="W52">
        <v>5.1780000000000003E-3</v>
      </c>
      <c r="X52" t="s">
        <v>137</v>
      </c>
      <c r="Y52">
        <v>56.3</v>
      </c>
      <c r="Z52" t="s">
        <v>137</v>
      </c>
      <c r="AA52">
        <v>43.7</v>
      </c>
      <c r="AB52">
        <v>0.88</v>
      </c>
      <c r="AC52">
        <v>0.02</v>
      </c>
      <c r="AD52">
        <v>0.04</v>
      </c>
      <c r="AE52" t="s">
        <v>137</v>
      </c>
    </row>
    <row r="53" spans="1:31" x14ac:dyDescent="0.3">
      <c r="A53" t="s">
        <v>57</v>
      </c>
      <c r="B53">
        <v>4</v>
      </c>
      <c r="C53" t="s">
        <v>137</v>
      </c>
      <c r="D53">
        <v>4</v>
      </c>
      <c r="E53">
        <v>3</v>
      </c>
      <c r="F53">
        <v>0.9</v>
      </c>
      <c r="G53">
        <v>0.9</v>
      </c>
      <c r="H53">
        <v>5.0000000000000001E-3</v>
      </c>
      <c r="I53">
        <v>120</v>
      </c>
      <c r="J53">
        <v>100</v>
      </c>
      <c r="K53">
        <v>6.4747810000000001</v>
      </c>
      <c r="L53">
        <v>6.274654</v>
      </c>
      <c r="M53">
        <v>139.29</v>
      </c>
      <c r="N53" t="s">
        <v>137</v>
      </c>
      <c r="O53" t="s">
        <v>137</v>
      </c>
      <c r="P53">
        <v>6.2459999999999998E-3</v>
      </c>
      <c r="Q53">
        <v>4.3095650000000001</v>
      </c>
      <c r="R53">
        <v>4.3158099999999999</v>
      </c>
      <c r="S53" t="s">
        <v>137</v>
      </c>
      <c r="T53">
        <v>2.1589700000000001</v>
      </c>
      <c r="U53">
        <v>5.2671000000000003E-2</v>
      </c>
      <c r="V53">
        <v>1.8550000000000001E-3</v>
      </c>
      <c r="W53">
        <v>2.2330000000000002E-3</v>
      </c>
      <c r="X53" t="s">
        <v>137</v>
      </c>
      <c r="Y53">
        <v>66.66</v>
      </c>
      <c r="Z53" t="s">
        <v>137</v>
      </c>
      <c r="AA53">
        <v>33.340000000000003</v>
      </c>
      <c r="AB53">
        <v>0.81</v>
      </c>
      <c r="AC53">
        <v>0.03</v>
      </c>
      <c r="AD53">
        <v>0.03</v>
      </c>
      <c r="AE53" t="s">
        <v>137</v>
      </c>
    </row>
    <row r="54" spans="1:31" x14ac:dyDescent="0.3">
      <c r="A54" t="s">
        <v>58</v>
      </c>
      <c r="B54">
        <v>4</v>
      </c>
      <c r="C54" t="s">
        <v>137</v>
      </c>
      <c r="D54">
        <v>4</v>
      </c>
      <c r="E54">
        <v>3</v>
      </c>
      <c r="F54">
        <v>0.9</v>
      </c>
      <c r="G54">
        <v>0.9</v>
      </c>
      <c r="H54">
        <v>5.0000000000000001E-3</v>
      </c>
      <c r="I54">
        <v>120</v>
      </c>
      <c r="J54">
        <v>96</v>
      </c>
      <c r="K54">
        <v>20.423646999999999</v>
      </c>
      <c r="L54">
        <v>20.281756999999999</v>
      </c>
      <c r="M54">
        <v>432.1</v>
      </c>
      <c r="N54" t="s">
        <v>137</v>
      </c>
      <c r="O54" t="s">
        <v>137</v>
      </c>
      <c r="P54">
        <v>6.2189999999999997E-3</v>
      </c>
      <c r="Q54">
        <v>9.5833700000000004</v>
      </c>
      <c r="R54">
        <v>9.5895879999999991</v>
      </c>
      <c r="S54" t="s">
        <v>137</v>
      </c>
      <c r="T54">
        <v>10.834059</v>
      </c>
      <c r="U54">
        <v>0.176149</v>
      </c>
      <c r="V54">
        <v>2.2959999999999999E-3</v>
      </c>
      <c r="W54">
        <v>7.4989999999999996E-3</v>
      </c>
      <c r="X54" t="s">
        <v>137</v>
      </c>
      <c r="Y54">
        <v>46.95</v>
      </c>
      <c r="Z54" t="s">
        <v>137</v>
      </c>
      <c r="AA54">
        <v>53.05</v>
      </c>
      <c r="AB54">
        <v>0.86</v>
      </c>
      <c r="AC54">
        <v>0.01</v>
      </c>
      <c r="AD54">
        <v>0.04</v>
      </c>
      <c r="AE54" t="s">
        <v>137</v>
      </c>
    </row>
    <row r="55" spans="1:31" x14ac:dyDescent="0.3">
      <c r="A55" t="s">
        <v>59</v>
      </c>
      <c r="B55">
        <v>4</v>
      </c>
      <c r="C55" t="s">
        <v>137</v>
      </c>
      <c r="D55">
        <v>4</v>
      </c>
      <c r="E55">
        <v>3</v>
      </c>
      <c r="F55">
        <v>0.9</v>
      </c>
      <c r="G55">
        <v>0.9</v>
      </c>
      <c r="H55">
        <v>5.0000000000000001E-3</v>
      </c>
      <c r="I55">
        <v>120</v>
      </c>
      <c r="J55">
        <v>100</v>
      </c>
      <c r="K55">
        <v>3.3660169999999998</v>
      </c>
      <c r="L55">
        <v>2.8666209999999999</v>
      </c>
      <c r="M55">
        <v>85.5</v>
      </c>
      <c r="N55" t="s">
        <v>137</v>
      </c>
      <c r="O55" t="s">
        <v>137</v>
      </c>
      <c r="P55">
        <v>5.5710000000000004E-3</v>
      </c>
      <c r="Q55">
        <v>2.43641</v>
      </c>
      <c r="R55">
        <v>2.4419810000000002</v>
      </c>
      <c r="S55" t="s">
        <v>137</v>
      </c>
      <c r="T55">
        <v>0.92403599999999997</v>
      </c>
      <c r="U55">
        <v>2.8379999999999999E-2</v>
      </c>
      <c r="V55">
        <v>1.696E-3</v>
      </c>
      <c r="W55">
        <v>1.175E-3</v>
      </c>
      <c r="X55" t="s">
        <v>137</v>
      </c>
      <c r="Y55">
        <v>72.55</v>
      </c>
      <c r="Z55" t="s">
        <v>137</v>
      </c>
      <c r="AA55">
        <v>27.45</v>
      </c>
      <c r="AB55">
        <v>0.84</v>
      </c>
      <c r="AC55">
        <v>0.05</v>
      </c>
      <c r="AD55">
        <v>0.03</v>
      </c>
      <c r="AE55" t="s">
        <v>137</v>
      </c>
    </row>
    <row r="56" spans="1:31" x14ac:dyDescent="0.3">
      <c r="A56" t="s">
        <v>60</v>
      </c>
      <c r="B56">
        <v>4</v>
      </c>
      <c r="C56" t="s">
        <v>137</v>
      </c>
      <c r="D56">
        <v>4</v>
      </c>
      <c r="E56">
        <v>3</v>
      </c>
      <c r="F56">
        <v>0.9</v>
      </c>
      <c r="G56">
        <v>0.9</v>
      </c>
      <c r="H56">
        <v>5.0000000000000001E-3</v>
      </c>
      <c r="I56">
        <v>120</v>
      </c>
      <c r="J56">
        <v>100</v>
      </c>
      <c r="K56">
        <v>5.3632809999999997</v>
      </c>
      <c r="L56">
        <v>5.3080090000000002</v>
      </c>
      <c r="M56">
        <v>130.27000000000001</v>
      </c>
      <c r="N56" t="s">
        <v>137</v>
      </c>
      <c r="O56" t="s">
        <v>137</v>
      </c>
      <c r="P56">
        <v>5.5890000000000002E-3</v>
      </c>
      <c r="Q56">
        <v>3.5698919999999998</v>
      </c>
      <c r="R56">
        <v>3.5754809999999999</v>
      </c>
      <c r="S56" t="s">
        <v>137</v>
      </c>
      <c r="T56">
        <v>1.7878000000000001</v>
      </c>
      <c r="U56">
        <v>4.3813999999999999E-2</v>
      </c>
      <c r="V56">
        <v>1.6080000000000001E-3</v>
      </c>
      <c r="W56">
        <v>1.92E-3</v>
      </c>
      <c r="X56" t="s">
        <v>137</v>
      </c>
      <c r="Y56">
        <v>66.67</v>
      </c>
      <c r="Z56" t="s">
        <v>137</v>
      </c>
      <c r="AA56">
        <v>33.33</v>
      </c>
      <c r="AB56">
        <v>0.82</v>
      </c>
      <c r="AC56">
        <v>0.03</v>
      </c>
      <c r="AD56">
        <v>0.04</v>
      </c>
      <c r="AE56" t="s">
        <v>137</v>
      </c>
    </row>
    <row r="57" spans="1:31" x14ac:dyDescent="0.3">
      <c r="A57" t="s">
        <v>61</v>
      </c>
      <c r="B57">
        <v>4</v>
      </c>
      <c r="C57" t="s">
        <v>137</v>
      </c>
      <c r="D57">
        <v>4</v>
      </c>
      <c r="E57">
        <v>3</v>
      </c>
      <c r="F57">
        <v>0.9</v>
      </c>
      <c r="G57">
        <v>0.9</v>
      </c>
      <c r="H57">
        <v>5.0000000000000001E-3</v>
      </c>
      <c r="I57">
        <v>120</v>
      </c>
      <c r="J57">
        <v>100</v>
      </c>
      <c r="K57">
        <v>4.5848409999999999</v>
      </c>
      <c r="L57">
        <v>3.7219009999999999</v>
      </c>
      <c r="M57">
        <v>102.23</v>
      </c>
      <c r="N57" t="s">
        <v>137</v>
      </c>
      <c r="O57" t="s">
        <v>137</v>
      </c>
      <c r="P57">
        <v>6.6090000000000003E-3</v>
      </c>
      <c r="Q57">
        <v>3.2759740000000002</v>
      </c>
      <c r="R57">
        <v>3.2825829999999998</v>
      </c>
      <c r="S57" t="s">
        <v>137</v>
      </c>
      <c r="T57">
        <v>1.302257</v>
      </c>
      <c r="U57">
        <v>4.0363999999999997E-2</v>
      </c>
      <c r="V57">
        <v>2.0209999999999998E-3</v>
      </c>
      <c r="W57">
        <v>1.833E-3</v>
      </c>
      <c r="X57" t="s">
        <v>137</v>
      </c>
      <c r="Y57">
        <v>71.599999999999994</v>
      </c>
      <c r="Z57" t="s">
        <v>137</v>
      </c>
      <c r="AA57">
        <v>28.4</v>
      </c>
      <c r="AB57">
        <v>0.88</v>
      </c>
      <c r="AC57">
        <v>0.04</v>
      </c>
      <c r="AD57">
        <v>0.04</v>
      </c>
      <c r="AE57" t="s">
        <v>137</v>
      </c>
    </row>
    <row r="58" spans="1:31" x14ac:dyDescent="0.3">
      <c r="A58" t="s">
        <v>62</v>
      </c>
      <c r="B58">
        <v>4</v>
      </c>
      <c r="C58" t="s">
        <v>137</v>
      </c>
      <c r="D58">
        <v>4</v>
      </c>
      <c r="E58">
        <v>3</v>
      </c>
      <c r="F58">
        <v>0.9</v>
      </c>
      <c r="G58">
        <v>0.9</v>
      </c>
      <c r="H58">
        <v>5.0000000000000001E-3</v>
      </c>
      <c r="I58">
        <v>120</v>
      </c>
      <c r="J58">
        <v>83</v>
      </c>
      <c r="K58">
        <v>36.178330000000003</v>
      </c>
      <c r="L58">
        <v>29.293859000000001</v>
      </c>
      <c r="M58">
        <v>580</v>
      </c>
      <c r="N58" t="s">
        <v>137</v>
      </c>
      <c r="O58" t="s">
        <v>137</v>
      </c>
      <c r="P58">
        <v>7.6480000000000003E-3</v>
      </c>
      <c r="Q58">
        <v>15.268751999999999</v>
      </c>
      <c r="R58">
        <v>15.276400000000001</v>
      </c>
      <c r="S58" t="s">
        <v>137</v>
      </c>
      <c r="T58">
        <v>20.90193</v>
      </c>
      <c r="U58">
        <v>0.32527299999999998</v>
      </c>
      <c r="V58">
        <v>3.1059999999999998E-3</v>
      </c>
      <c r="W58">
        <v>1.3975E-2</v>
      </c>
      <c r="X58" t="s">
        <v>137</v>
      </c>
      <c r="Y58">
        <v>42.23</v>
      </c>
      <c r="Z58" t="s">
        <v>137</v>
      </c>
      <c r="AA58">
        <v>57.77</v>
      </c>
      <c r="AB58">
        <v>0.9</v>
      </c>
      <c r="AC58">
        <v>0.01</v>
      </c>
      <c r="AD58">
        <v>0.04</v>
      </c>
      <c r="AE58" t="s">
        <v>137</v>
      </c>
    </row>
    <row r="59" spans="1:31" x14ac:dyDescent="0.3">
      <c r="A59" t="s">
        <v>63</v>
      </c>
      <c r="B59">
        <v>4</v>
      </c>
      <c r="C59" t="s">
        <v>137</v>
      </c>
      <c r="D59">
        <v>4</v>
      </c>
      <c r="E59">
        <v>3</v>
      </c>
      <c r="F59">
        <v>0.9</v>
      </c>
      <c r="G59">
        <v>0.9</v>
      </c>
      <c r="H59">
        <v>5.0000000000000001E-3</v>
      </c>
      <c r="I59">
        <v>120</v>
      </c>
      <c r="J59">
        <v>99</v>
      </c>
      <c r="K59">
        <v>9.4550719999999995</v>
      </c>
      <c r="L59">
        <v>15.13067</v>
      </c>
      <c r="M59">
        <v>159.31</v>
      </c>
      <c r="N59" t="s">
        <v>137</v>
      </c>
      <c r="O59" t="s">
        <v>137</v>
      </c>
      <c r="P59">
        <v>7.5880000000000001E-3</v>
      </c>
      <c r="Q59">
        <v>5.2178180000000003</v>
      </c>
      <c r="R59">
        <v>5.2254060000000004</v>
      </c>
      <c r="S59" t="s">
        <v>137</v>
      </c>
      <c r="T59">
        <v>4.2296659999999999</v>
      </c>
      <c r="U59">
        <v>8.4140999999999994E-2</v>
      </c>
      <c r="V59">
        <v>2.5079999999999998E-3</v>
      </c>
      <c r="W59">
        <v>3.6099999999999999E-3</v>
      </c>
      <c r="X59" t="s">
        <v>137</v>
      </c>
      <c r="Y59">
        <v>55.27</v>
      </c>
      <c r="Z59" t="s">
        <v>137</v>
      </c>
      <c r="AA59">
        <v>44.73</v>
      </c>
      <c r="AB59">
        <v>0.89</v>
      </c>
      <c r="AC59">
        <v>0.03</v>
      </c>
      <c r="AD59">
        <v>0.04</v>
      </c>
      <c r="AE59" t="s">
        <v>137</v>
      </c>
    </row>
    <row r="60" spans="1:31" x14ac:dyDescent="0.3">
      <c r="A60" t="s">
        <v>64</v>
      </c>
      <c r="B60">
        <v>4</v>
      </c>
      <c r="C60" t="s">
        <v>137</v>
      </c>
      <c r="D60">
        <v>4</v>
      </c>
      <c r="E60">
        <v>3</v>
      </c>
      <c r="F60">
        <v>0.9</v>
      </c>
      <c r="G60">
        <v>0.9</v>
      </c>
      <c r="H60">
        <v>5.0000000000000001E-3</v>
      </c>
      <c r="I60">
        <v>120</v>
      </c>
      <c r="J60">
        <v>95</v>
      </c>
      <c r="K60">
        <v>28.008921999999998</v>
      </c>
      <c r="L60">
        <v>24.061481000000001</v>
      </c>
      <c r="M60">
        <v>408.08</v>
      </c>
      <c r="N60" t="s">
        <v>137</v>
      </c>
      <c r="O60" t="s">
        <v>137</v>
      </c>
      <c r="P60">
        <v>9.0500000000000008E-3</v>
      </c>
      <c r="Q60">
        <v>14.938939</v>
      </c>
      <c r="R60">
        <v>14.947989</v>
      </c>
      <c r="S60" t="s">
        <v>137</v>
      </c>
      <c r="T60">
        <v>13.060933</v>
      </c>
      <c r="U60">
        <v>0.25940000000000002</v>
      </c>
      <c r="V60">
        <v>3.0599999999999998E-3</v>
      </c>
      <c r="W60">
        <v>1.0829E-2</v>
      </c>
      <c r="X60" t="s">
        <v>137</v>
      </c>
      <c r="Y60">
        <v>53.37</v>
      </c>
      <c r="Z60" t="s">
        <v>137</v>
      </c>
      <c r="AA60">
        <v>46.63</v>
      </c>
      <c r="AB60">
        <v>0.93</v>
      </c>
      <c r="AC60">
        <v>0.01</v>
      </c>
      <c r="AD60">
        <v>0.04</v>
      </c>
      <c r="AE60" t="s">
        <v>137</v>
      </c>
    </row>
    <row r="61" spans="1:31" x14ac:dyDescent="0.3">
      <c r="A61" t="s">
        <v>65</v>
      </c>
      <c r="B61">
        <v>4</v>
      </c>
      <c r="C61" t="s">
        <v>137</v>
      </c>
      <c r="D61">
        <v>4</v>
      </c>
      <c r="E61">
        <v>3</v>
      </c>
      <c r="F61">
        <v>0.9</v>
      </c>
      <c r="G61">
        <v>0.9</v>
      </c>
      <c r="H61">
        <v>5.0000000000000001E-3</v>
      </c>
      <c r="I61">
        <v>120</v>
      </c>
      <c r="J61">
        <v>100</v>
      </c>
      <c r="K61">
        <v>7.3217670000000004</v>
      </c>
      <c r="L61">
        <v>7.5257500000000004</v>
      </c>
      <c r="M61">
        <v>104.12</v>
      </c>
      <c r="N61" t="s">
        <v>137</v>
      </c>
      <c r="O61" t="s">
        <v>137</v>
      </c>
      <c r="P61">
        <v>9.8340000000000007E-3</v>
      </c>
      <c r="Q61">
        <v>5.1095969999999999</v>
      </c>
      <c r="R61">
        <v>5.1194309999999996</v>
      </c>
      <c r="S61" t="s">
        <v>137</v>
      </c>
      <c r="T61">
        <v>2.2023359999999998</v>
      </c>
      <c r="U61">
        <v>6.1321000000000001E-2</v>
      </c>
      <c r="V61">
        <v>2.9030000000000002E-3</v>
      </c>
      <c r="W61">
        <v>2.4320000000000001E-3</v>
      </c>
      <c r="X61" t="s">
        <v>137</v>
      </c>
      <c r="Y61">
        <v>69.92</v>
      </c>
      <c r="Z61" t="s">
        <v>137</v>
      </c>
      <c r="AA61">
        <v>30.08</v>
      </c>
      <c r="AB61">
        <v>0.84</v>
      </c>
      <c r="AC61">
        <v>0.04</v>
      </c>
      <c r="AD61">
        <v>0.03</v>
      </c>
      <c r="AE61" t="s">
        <v>137</v>
      </c>
    </row>
    <row r="62" spans="1:31" x14ac:dyDescent="0.3">
      <c r="A62" t="s">
        <v>66</v>
      </c>
      <c r="B62">
        <v>4</v>
      </c>
      <c r="C62" t="s">
        <v>137</v>
      </c>
      <c r="D62">
        <v>4</v>
      </c>
      <c r="E62">
        <v>3</v>
      </c>
      <c r="F62">
        <v>0.9</v>
      </c>
      <c r="G62">
        <v>0.9</v>
      </c>
      <c r="H62">
        <v>5.0000000000000001E-3</v>
      </c>
      <c r="I62">
        <v>120</v>
      </c>
      <c r="J62">
        <v>99</v>
      </c>
      <c r="K62">
        <v>11.520718</v>
      </c>
      <c r="L62">
        <v>15.309950000000001</v>
      </c>
      <c r="M62">
        <v>167.28</v>
      </c>
      <c r="N62" t="s">
        <v>137</v>
      </c>
      <c r="O62" t="s">
        <v>137</v>
      </c>
      <c r="P62">
        <v>9.8860000000000007E-3</v>
      </c>
      <c r="Q62">
        <v>7.1803749999999997</v>
      </c>
      <c r="R62">
        <v>7.1902609999999996</v>
      </c>
      <c r="S62" t="s">
        <v>137</v>
      </c>
      <c r="T62">
        <v>4.330457</v>
      </c>
      <c r="U62">
        <v>0.10323400000000001</v>
      </c>
      <c r="V62">
        <v>2.8500000000000001E-3</v>
      </c>
      <c r="W62">
        <v>4.1799999999999997E-3</v>
      </c>
      <c r="X62" t="s">
        <v>137</v>
      </c>
      <c r="Y62">
        <v>62.41</v>
      </c>
      <c r="Z62" t="s">
        <v>137</v>
      </c>
      <c r="AA62">
        <v>37.590000000000003</v>
      </c>
      <c r="AB62">
        <v>0.9</v>
      </c>
      <c r="AC62">
        <v>0.02</v>
      </c>
      <c r="AD62">
        <v>0.04</v>
      </c>
      <c r="AE62" t="s">
        <v>137</v>
      </c>
    </row>
    <row r="63" spans="1:31" x14ac:dyDescent="0.3">
      <c r="A63" t="s">
        <v>67</v>
      </c>
      <c r="B63">
        <v>4</v>
      </c>
      <c r="C63" t="s">
        <v>137</v>
      </c>
      <c r="D63">
        <v>4</v>
      </c>
      <c r="E63">
        <v>3</v>
      </c>
      <c r="F63">
        <v>0.9</v>
      </c>
      <c r="G63">
        <v>0.9</v>
      </c>
      <c r="H63">
        <v>5.0000000000000001E-3</v>
      </c>
      <c r="I63">
        <v>120</v>
      </c>
      <c r="J63">
        <v>100</v>
      </c>
      <c r="K63">
        <v>17.082715</v>
      </c>
      <c r="L63">
        <v>18.273126000000001</v>
      </c>
      <c r="M63">
        <v>269.19</v>
      </c>
      <c r="N63" t="s">
        <v>137</v>
      </c>
      <c r="O63" t="s">
        <v>137</v>
      </c>
      <c r="P63">
        <v>8.2150000000000001E-3</v>
      </c>
      <c r="Q63">
        <v>9.9293929999999992</v>
      </c>
      <c r="R63">
        <v>9.9376080000000009</v>
      </c>
      <c r="S63" t="s">
        <v>137</v>
      </c>
      <c r="T63">
        <v>7.1451070000000003</v>
      </c>
      <c r="U63">
        <v>0.15221599999999999</v>
      </c>
      <c r="V63">
        <v>2.9680000000000002E-3</v>
      </c>
      <c r="W63">
        <v>6.1180000000000002E-3</v>
      </c>
      <c r="X63" t="s">
        <v>137</v>
      </c>
      <c r="Y63">
        <v>58.17</v>
      </c>
      <c r="Z63" t="s">
        <v>137</v>
      </c>
      <c r="AA63">
        <v>41.83</v>
      </c>
      <c r="AB63">
        <v>0.89</v>
      </c>
      <c r="AC63">
        <v>0.02</v>
      </c>
      <c r="AD63">
        <v>0.04</v>
      </c>
      <c r="AE63" t="s">
        <v>137</v>
      </c>
    </row>
    <row r="64" spans="1:31" x14ac:dyDescent="0.3">
      <c r="A64" t="s">
        <v>68</v>
      </c>
      <c r="B64">
        <v>4</v>
      </c>
      <c r="C64" t="s">
        <v>137</v>
      </c>
      <c r="D64">
        <v>4</v>
      </c>
      <c r="E64">
        <v>3</v>
      </c>
      <c r="F64">
        <v>0.9</v>
      </c>
      <c r="G64">
        <v>0.9</v>
      </c>
      <c r="H64">
        <v>5.0000000000000001E-3</v>
      </c>
      <c r="I64">
        <v>120</v>
      </c>
      <c r="J64">
        <v>100</v>
      </c>
      <c r="K64">
        <v>14.900781</v>
      </c>
      <c r="L64">
        <v>11.285323</v>
      </c>
      <c r="M64">
        <v>265.83</v>
      </c>
      <c r="N64" t="s">
        <v>137</v>
      </c>
      <c r="O64" t="s">
        <v>137</v>
      </c>
      <c r="P64">
        <v>7.3340000000000002E-3</v>
      </c>
      <c r="Q64">
        <v>8.8120209999999997</v>
      </c>
      <c r="R64">
        <v>8.8193549999999998</v>
      </c>
      <c r="S64" t="s">
        <v>137</v>
      </c>
      <c r="T64">
        <v>6.0814260000000004</v>
      </c>
      <c r="U64">
        <v>0.12886700000000001</v>
      </c>
      <c r="V64">
        <v>2.7309999999999999E-3</v>
      </c>
      <c r="W64">
        <v>6.1619999999999999E-3</v>
      </c>
      <c r="X64" t="s">
        <v>137</v>
      </c>
      <c r="Y64">
        <v>59.19</v>
      </c>
      <c r="Z64" t="s">
        <v>137</v>
      </c>
      <c r="AA64">
        <v>40.81</v>
      </c>
      <c r="AB64">
        <v>0.86</v>
      </c>
      <c r="AC64">
        <v>0.02</v>
      </c>
      <c r="AD64">
        <v>0.04</v>
      </c>
      <c r="AE64" t="s">
        <v>137</v>
      </c>
    </row>
    <row r="65" spans="1:31" x14ac:dyDescent="0.3">
      <c r="A65" t="s">
        <v>69</v>
      </c>
      <c r="B65">
        <v>4</v>
      </c>
      <c r="C65" t="s">
        <v>137</v>
      </c>
      <c r="D65">
        <v>4</v>
      </c>
      <c r="E65">
        <v>3</v>
      </c>
      <c r="F65">
        <v>0.9</v>
      </c>
      <c r="G65">
        <v>0.9</v>
      </c>
      <c r="H65">
        <v>5.0000000000000001E-3</v>
      </c>
      <c r="I65">
        <v>120</v>
      </c>
      <c r="J65">
        <v>100</v>
      </c>
      <c r="K65">
        <v>7.9424780000000004</v>
      </c>
      <c r="L65">
        <v>11.350758000000001</v>
      </c>
      <c r="M65">
        <v>149.49</v>
      </c>
      <c r="N65" t="s">
        <v>137</v>
      </c>
      <c r="O65" t="s">
        <v>137</v>
      </c>
      <c r="P65">
        <v>6.8269999999999997E-3</v>
      </c>
      <c r="Q65">
        <v>4.6494600000000004</v>
      </c>
      <c r="R65">
        <v>4.6562869999999998</v>
      </c>
      <c r="S65" t="s">
        <v>137</v>
      </c>
      <c r="T65">
        <v>3.2861910000000001</v>
      </c>
      <c r="U65">
        <v>7.0684999999999998E-2</v>
      </c>
      <c r="V65">
        <v>2.4919999999999999E-3</v>
      </c>
      <c r="W65">
        <v>3.3400000000000001E-3</v>
      </c>
      <c r="X65" t="s">
        <v>137</v>
      </c>
      <c r="Y65">
        <v>58.63</v>
      </c>
      <c r="Z65" t="s">
        <v>137</v>
      </c>
      <c r="AA65">
        <v>41.37</v>
      </c>
      <c r="AB65">
        <v>0.89</v>
      </c>
      <c r="AC65">
        <v>0.03</v>
      </c>
      <c r="AD65">
        <v>0.04</v>
      </c>
      <c r="AE65" t="s">
        <v>137</v>
      </c>
    </row>
    <row r="66" spans="1:31" x14ac:dyDescent="0.3">
      <c r="A66" t="s">
        <v>70</v>
      </c>
      <c r="B66">
        <v>4</v>
      </c>
      <c r="C66" t="s">
        <v>137</v>
      </c>
      <c r="D66">
        <v>4</v>
      </c>
      <c r="E66">
        <v>3</v>
      </c>
      <c r="F66">
        <v>0.9</v>
      </c>
      <c r="G66">
        <v>0.9</v>
      </c>
      <c r="H66">
        <v>5.0000000000000001E-3</v>
      </c>
      <c r="I66">
        <v>120</v>
      </c>
      <c r="J66">
        <v>100</v>
      </c>
      <c r="K66">
        <v>7.4199299999999999</v>
      </c>
      <c r="L66">
        <v>7.5462049999999996</v>
      </c>
      <c r="M66">
        <v>131.68</v>
      </c>
      <c r="N66" t="s">
        <v>137</v>
      </c>
      <c r="O66" t="s">
        <v>137</v>
      </c>
      <c r="P66">
        <v>7.8740000000000008E-3</v>
      </c>
      <c r="Q66">
        <v>4.9031380000000002</v>
      </c>
      <c r="R66">
        <v>4.9110129999999996</v>
      </c>
      <c r="S66" t="s">
        <v>137</v>
      </c>
      <c r="T66">
        <v>2.5089169999999998</v>
      </c>
      <c r="U66">
        <v>6.9776000000000005E-2</v>
      </c>
      <c r="V66">
        <v>2.97E-3</v>
      </c>
      <c r="W66">
        <v>2.9919999999999999E-3</v>
      </c>
      <c r="X66" t="s">
        <v>137</v>
      </c>
      <c r="Y66">
        <v>66.19</v>
      </c>
      <c r="Z66" t="s">
        <v>137</v>
      </c>
      <c r="AA66">
        <v>33.81</v>
      </c>
      <c r="AB66">
        <v>0.94</v>
      </c>
      <c r="AC66">
        <v>0.04</v>
      </c>
      <c r="AD66">
        <v>0.04</v>
      </c>
      <c r="AE66" t="s">
        <v>137</v>
      </c>
    </row>
    <row r="67" spans="1:31" x14ac:dyDescent="0.3">
      <c r="A67" t="s">
        <v>71</v>
      </c>
      <c r="B67">
        <v>4</v>
      </c>
      <c r="C67" t="s">
        <v>137</v>
      </c>
      <c r="D67">
        <v>4</v>
      </c>
      <c r="E67">
        <v>3</v>
      </c>
      <c r="F67">
        <v>0.9</v>
      </c>
      <c r="G67">
        <v>0.9</v>
      </c>
      <c r="H67">
        <v>5.0000000000000001E-3</v>
      </c>
      <c r="I67">
        <v>120</v>
      </c>
      <c r="J67">
        <v>97</v>
      </c>
      <c r="K67">
        <v>20.533427</v>
      </c>
      <c r="L67">
        <v>20.865414000000001</v>
      </c>
      <c r="M67">
        <v>332.97</v>
      </c>
      <c r="N67" t="s">
        <v>137</v>
      </c>
      <c r="O67" t="s">
        <v>137</v>
      </c>
      <c r="P67">
        <v>7.7840000000000001E-3</v>
      </c>
      <c r="Q67">
        <v>9.825761</v>
      </c>
      <c r="R67">
        <v>9.8335450000000009</v>
      </c>
      <c r="S67" t="s">
        <v>137</v>
      </c>
      <c r="T67">
        <v>10.699882000000001</v>
      </c>
      <c r="U67">
        <v>0.18102299999999999</v>
      </c>
      <c r="V67">
        <v>3.003E-3</v>
      </c>
      <c r="W67">
        <v>7.9150000000000002E-3</v>
      </c>
      <c r="X67" t="s">
        <v>137</v>
      </c>
      <c r="Y67">
        <v>47.89</v>
      </c>
      <c r="Z67" t="s">
        <v>137</v>
      </c>
      <c r="AA67">
        <v>52.11</v>
      </c>
      <c r="AB67">
        <v>0.88</v>
      </c>
      <c r="AC67">
        <v>0.01</v>
      </c>
      <c r="AD67">
        <v>0.04</v>
      </c>
      <c r="AE67" t="s">
        <v>137</v>
      </c>
    </row>
    <row r="68" spans="1:31" x14ac:dyDescent="0.3">
      <c r="A68" t="s">
        <v>72</v>
      </c>
      <c r="B68">
        <v>4</v>
      </c>
      <c r="C68" t="s">
        <v>137</v>
      </c>
      <c r="D68">
        <v>4</v>
      </c>
      <c r="E68">
        <v>3</v>
      </c>
      <c r="F68">
        <v>0.9</v>
      </c>
      <c r="G68">
        <v>0.9</v>
      </c>
      <c r="H68">
        <v>5.0000000000000001E-3</v>
      </c>
      <c r="I68">
        <v>120</v>
      </c>
      <c r="J68">
        <v>98</v>
      </c>
      <c r="K68">
        <v>12.717596</v>
      </c>
      <c r="L68">
        <v>10.521616</v>
      </c>
      <c r="M68">
        <v>197.01</v>
      </c>
      <c r="N68" t="s">
        <v>137</v>
      </c>
      <c r="O68" t="s">
        <v>137</v>
      </c>
      <c r="P68">
        <v>8.267E-3</v>
      </c>
      <c r="Q68">
        <v>8.0663079999999994</v>
      </c>
      <c r="R68">
        <v>8.0745749999999994</v>
      </c>
      <c r="S68" t="s">
        <v>137</v>
      </c>
      <c r="T68">
        <v>4.6430199999999999</v>
      </c>
      <c r="U68">
        <v>0.11151700000000001</v>
      </c>
      <c r="V68">
        <v>2.9199999999999999E-3</v>
      </c>
      <c r="W68">
        <v>4.7920000000000003E-3</v>
      </c>
      <c r="X68" t="s">
        <v>137</v>
      </c>
      <c r="Y68">
        <v>63.49</v>
      </c>
      <c r="Z68" t="s">
        <v>137</v>
      </c>
      <c r="AA68">
        <v>36.51</v>
      </c>
      <c r="AB68">
        <v>0.88</v>
      </c>
      <c r="AC68">
        <v>0.02</v>
      </c>
      <c r="AD68">
        <v>0.04</v>
      </c>
      <c r="AE68" t="s">
        <v>137</v>
      </c>
    </row>
    <row r="69" spans="1:31" x14ac:dyDescent="0.3">
      <c r="A69" t="s">
        <v>73</v>
      </c>
      <c r="B69">
        <v>4</v>
      </c>
      <c r="C69" t="s">
        <v>137</v>
      </c>
      <c r="D69">
        <v>4</v>
      </c>
      <c r="E69">
        <v>3</v>
      </c>
      <c r="F69">
        <v>0.9</v>
      </c>
      <c r="G69">
        <v>0.9</v>
      </c>
      <c r="H69">
        <v>5.0000000000000001E-3</v>
      </c>
      <c r="I69">
        <v>120</v>
      </c>
      <c r="J69">
        <v>100</v>
      </c>
      <c r="K69">
        <v>5.007701</v>
      </c>
      <c r="L69">
        <v>6.1632540000000002</v>
      </c>
      <c r="M69">
        <v>74.78</v>
      </c>
      <c r="N69" t="s">
        <v>137</v>
      </c>
      <c r="O69" t="s">
        <v>137</v>
      </c>
      <c r="P69">
        <v>9.7590000000000003E-3</v>
      </c>
      <c r="Q69">
        <v>3.6151719999999998</v>
      </c>
      <c r="R69">
        <v>3.6249310000000001</v>
      </c>
      <c r="S69" t="s">
        <v>137</v>
      </c>
      <c r="T69">
        <v>1.3827700000000001</v>
      </c>
      <c r="U69">
        <v>4.4489000000000001E-2</v>
      </c>
      <c r="V69">
        <v>2.3709999999999998E-3</v>
      </c>
      <c r="W69">
        <v>1.8489999999999999E-3</v>
      </c>
      <c r="X69" t="s">
        <v>137</v>
      </c>
      <c r="Y69">
        <v>72.39</v>
      </c>
      <c r="Z69" t="s">
        <v>137</v>
      </c>
      <c r="AA69">
        <v>27.61</v>
      </c>
      <c r="AB69">
        <v>0.89</v>
      </c>
      <c r="AC69">
        <v>0.05</v>
      </c>
      <c r="AD69">
        <v>0.04</v>
      </c>
      <c r="AE69" t="s">
        <v>137</v>
      </c>
    </row>
    <row r="70" spans="1:31" x14ac:dyDescent="0.3">
      <c r="A70" t="s">
        <v>74</v>
      </c>
      <c r="B70">
        <v>4</v>
      </c>
      <c r="C70" t="s">
        <v>137</v>
      </c>
      <c r="D70">
        <v>4</v>
      </c>
      <c r="E70">
        <v>3</v>
      </c>
      <c r="F70">
        <v>0.9</v>
      </c>
      <c r="G70">
        <v>0.9</v>
      </c>
      <c r="H70">
        <v>5.0000000000000001E-3</v>
      </c>
      <c r="I70">
        <v>120</v>
      </c>
      <c r="J70">
        <v>94</v>
      </c>
      <c r="K70">
        <v>27.397631000000001</v>
      </c>
      <c r="L70">
        <v>26.633946000000002</v>
      </c>
      <c r="M70">
        <v>495.16</v>
      </c>
      <c r="N70" t="s">
        <v>137</v>
      </c>
      <c r="O70" t="s">
        <v>137</v>
      </c>
      <c r="P70">
        <v>7.5859999999999999E-3</v>
      </c>
      <c r="Q70">
        <v>11.620316000000001</v>
      </c>
      <c r="R70">
        <v>11.627901</v>
      </c>
      <c r="S70" t="s">
        <v>137</v>
      </c>
      <c r="T70">
        <v>15.769729</v>
      </c>
      <c r="U70">
        <v>0.23407900000000001</v>
      </c>
      <c r="V70">
        <v>2.7049999999999999E-3</v>
      </c>
      <c r="W70">
        <v>1.0378E-2</v>
      </c>
      <c r="X70" t="s">
        <v>137</v>
      </c>
      <c r="Y70">
        <v>42.44</v>
      </c>
      <c r="Z70" t="s">
        <v>137</v>
      </c>
      <c r="AA70">
        <v>57.56</v>
      </c>
      <c r="AB70">
        <v>0.85</v>
      </c>
      <c r="AC70">
        <v>0.01</v>
      </c>
      <c r="AD70">
        <v>0.04</v>
      </c>
      <c r="AE70" t="s">
        <v>137</v>
      </c>
    </row>
    <row r="71" spans="1:31" x14ac:dyDescent="0.3">
      <c r="A71" t="s">
        <v>75</v>
      </c>
      <c r="B71">
        <v>4</v>
      </c>
      <c r="C71" t="s">
        <v>137</v>
      </c>
      <c r="D71">
        <v>4</v>
      </c>
      <c r="E71">
        <v>3</v>
      </c>
      <c r="F71">
        <v>0.9</v>
      </c>
      <c r="G71">
        <v>0.9</v>
      </c>
      <c r="H71">
        <v>5.0000000000000001E-3</v>
      </c>
      <c r="I71">
        <v>120</v>
      </c>
      <c r="J71">
        <v>79</v>
      </c>
      <c r="K71">
        <v>29.334295999999998</v>
      </c>
      <c r="L71">
        <v>26.673845</v>
      </c>
      <c r="M71">
        <v>527.14</v>
      </c>
      <c r="N71" t="s">
        <v>137</v>
      </c>
      <c r="O71" t="s">
        <v>137</v>
      </c>
      <c r="P71">
        <v>8.0850000000000002E-3</v>
      </c>
      <c r="Q71">
        <v>13.146756999999999</v>
      </c>
      <c r="R71">
        <v>13.154842</v>
      </c>
      <c r="S71" t="s">
        <v>137</v>
      </c>
      <c r="T71">
        <v>16.179454</v>
      </c>
      <c r="U71">
        <v>0.253917</v>
      </c>
      <c r="V71">
        <v>2.8449999999999999E-3</v>
      </c>
      <c r="W71">
        <v>1.0455000000000001E-2</v>
      </c>
      <c r="X71" t="s">
        <v>137</v>
      </c>
      <c r="Y71">
        <v>44.84</v>
      </c>
      <c r="Z71" t="s">
        <v>137</v>
      </c>
      <c r="AA71">
        <v>55.16</v>
      </c>
      <c r="AB71">
        <v>0.87</v>
      </c>
      <c r="AC71">
        <v>0.01</v>
      </c>
      <c r="AD71">
        <v>0.04</v>
      </c>
      <c r="AE71" t="s">
        <v>137</v>
      </c>
    </row>
    <row r="72" spans="1:31" x14ac:dyDescent="0.3">
      <c r="A72" t="s">
        <v>76</v>
      </c>
      <c r="B72">
        <v>4</v>
      </c>
      <c r="C72" t="s">
        <v>137</v>
      </c>
      <c r="D72">
        <v>4</v>
      </c>
      <c r="E72">
        <v>3</v>
      </c>
      <c r="F72">
        <v>0.9</v>
      </c>
      <c r="G72">
        <v>0.9</v>
      </c>
      <c r="H72">
        <v>5.0000000000000001E-3</v>
      </c>
      <c r="I72">
        <v>120</v>
      </c>
      <c r="J72">
        <v>100</v>
      </c>
      <c r="K72">
        <v>7.4604889999999999</v>
      </c>
      <c r="L72">
        <v>6.8268430000000002</v>
      </c>
      <c r="M72">
        <v>120.47</v>
      </c>
      <c r="N72" t="s">
        <v>137</v>
      </c>
      <c r="O72" t="s">
        <v>137</v>
      </c>
      <c r="P72">
        <v>8.5830000000000004E-3</v>
      </c>
      <c r="Q72">
        <v>5.190658</v>
      </c>
      <c r="R72">
        <v>5.1992419999999999</v>
      </c>
      <c r="S72" t="s">
        <v>137</v>
      </c>
      <c r="T72">
        <v>2.261247</v>
      </c>
      <c r="U72">
        <v>5.9657000000000002E-2</v>
      </c>
      <c r="V72">
        <v>2.196E-3</v>
      </c>
      <c r="W72">
        <v>2.4840000000000001E-3</v>
      </c>
      <c r="X72" t="s">
        <v>137</v>
      </c>
      <c r="Y72">
        <v>69.69</v>
      </c>
      <c r="Z72" t="s">
        <v>137</v>
      </c>
      <c r="AA72">
        <v>30.31</v>
      </c>
      <c r="AB72">
        <v>0.8</v>
      </c>
      <c r="AC72">
        <v>0.03</v>
      </c>
      <c r="AD72">
        <v>0.03</v>
      </c>
      <c r="AE72" t="s">
        <v>137</v>
      </c>
    </row>
    <row r="73" spans="1:31" x14ac:dyDescent="0.3">
      <c r="A73" t="s">
        <v>77</v>
      </c>
      <c r="B73">
        <v>4</v>
      </c>
      <c r="C73" t="s">
        <v>137</v>
      </c>
      <c r="D73">
        <v>4</v>
      </c>
      <c r="E73">
        <v>3</v>
      </c>
      <c r="F73">
        <v>0.9</v>
      </c>
      <c r="G73">
        <v>0.9</v>
      </c>
      <c r="H73">
        <v>5.0000000000000001E-3</v>
      </c>
      <c r="I73">
        <v>120</v>
      </c>
      <c r="J73">
        <v>27</v>
      </c>
      <c r="K73">
        <v>44.334361000000001</v>
      </c>
      <c r="L73">
        <v>34.954915999999997</v>
      </c>
      <c r="M73">
        <v>755.41</v>
      </c>
      <c r="N73" t="s">
        <v>137</v>
      </c>
      <c r="O73" t="s">
        <v>137</v>
      </c>
      <c r="P73">
        <v>1.0989000000000001E-2</v>
      </c>
      <c r="Q73">
        <v>19.310217999999999</v>
      </c>
      <c r="R73">
        <v>19.321207000000001</v>
      </c>
      <c r="S73" t="s">
        <v>137</v>
      </c>
      <c r="T73">
        <v>25.013154</v>
      </c>
      <c r="U73">
        <v>0.40603400000000001</v>
      </c>
      <c r="V73">
        <v>2.9190000000000002E-3</v>
      </c>
      <c r="W73">
        <v>1.7243000000000001E-2</v>
      </c>
      <c r="X73" t="s">
        <v>137</v>
      </c>
      <c r="Y73">
        <v>43.58</v>
      </c>
      <c r="Z73" t="s">
        <v>137</v>
      </c>
      <c r="AA73">
        <v>56.42</v>
      </c>
      <c r="AB73">
        <v>0.92</v>
      </c>
      <c r="AC73">
        <v>0.01</v>
      </c>
      <c r="AD73">
        <v>0.04</v>
      </c>
      <c r="AE73" t="s">
        <v>137</v>
      </c>
    </row>
    <row r="74" spans="1:31" x14ac:dyDescent="0.3">
      <c r="A74" t="s">
        <v>78</v>
      </c>
      <c r="B74">
        <v>4</v>
      </c>
      <c r="C74" t="s">
        <v>137</v>
      </c>
      <c r="D74">
        <v>4</v>
      </c>
      <c r="E74">
        <v>3</v>
      </c>
      <c r="F74">
        <v>0.9</v>
      </c>
      <c r="G74">
        <v>0.9</v>
      </c>
      <c r="H74">
        <v>5.0000000000000001E-3</v>
      </c>
      <c r="I74">
        <v>120</v>
      </c>
      <c r="J74">
        <v>99</v>
      </c>
      <c r="K74">
        <v>11.193555999999999</v>
      </c>
      <c r="L74">
        <v>11.249238999999999</v>
      </c>
      <c r="M74">
        <v>178.97</v>
      </c>
      <c r="N74" t="s">
        <v>137</v>
      </c>
      <c r="O74" t="s">
        <v>137</v>
      </c>
      <c r="P74">
        <v>1.034E-2</v>
      </c>
      <c r="Q74">
        <v>7.2338009999999997</v>
      </c>
      <c r="R74">
        <v>7.2441409999999999</v>
      </c>
      <c r="S74" t="s">
        <v>137</v>
      </c>
      <c r="T74">
        <v>3.9494150000000001</v>
      </c>
      <c r="U74">
        <v>9.5827999999999997E-2</v>
      </c>
      <c r="V74">
        <v>2.3119999999999998E-3</v>
      </c>
      <c r="W74">
        <v>4.0239999999999998E-3</v>
      </c>
      <c r="X74" t="s">
        <v>137</v>
      </c>
      <c r="Y74">
        <v>64.72</v>
      </c>
      <c r="Z74" t="s">
        <v>137</v>
      </c>
      <c r="AA74">
        <v>35.28</v>
      </c>
      <c r="AB74">
        <v>0.86</v>
      </c>
      <c r="AC74">
        <v>0.02</v>
      </c>
      <c r="AD74">
        <v>0.04</v>
      </c>
      <c r="AE74" t="s">
        <v>137</v>
      </c>
    </row>
    <row r="75" spans="1:31" x14ac:dyDescent="0.3">
      <c r="A75" t="s">
        <v>79</v>
      </c>
      <c r="B75">
        <v>4</v>
      </c>
      <c r="C75" t="s">
        <v>137</v>
      </c>
      <c r="D75">
        <v>4</v>
      </c>
      <c r="E75">
        <v>3</v>
      </c>
      <c r="F75">
        <v>0.9</v>
      </c>
      <c r="G75">
        <v>0.9</v>
      </c>
      <c r="H75">
        <v>5.0000000000000001E-3</v>
      </c>
      <c r="I75">
        <v>120</v>
      </c>
      <c r="J75">
        <v>100</v>
      </c>
      <c r="K75">
        <v>1.6680109999999999</v>
      </c>
      <c r="L75">
        <v>4.7383730000000002</v>
      </c>
      <c r="M75">
        <v>41</v>
      </c>
      <c r="N75" t="s">
        <v>137</v>
      </c>
      <c r="O75" t="s">
        <v>137</v>
      </c>
      <c r="P75">
        <v>1.008E-2</v>
      </c>
      <c r="Q75">
        <v>1.093574</v>
      </c>
      <c r="R75">
        <v>1.1036539999999999</v>
      </c>
      <c r="S75" t="s">
        <v>137</v>
      </c>
      <c r="T75">
        <v>0.564357</v>
      </c>
      <c r="U75">
        <v>1.9862999999999999E-2</v>
      </c>
      <c r="V75">
        <v>2.4580000000000001E-3</v>
      </c>
      <c r="W75">
        <v>8.2299999999999995E-4</v>
      </c>
      <c r="X75" t="s">
        <v>137</v>
      </c>
      <c r="Y75">
        <v>66.17</v>
      </c>
      <c r="Z75" t="s">
        <v>137</v>
      </c>
      <c r="AA75">
        <v>33.83</v>
      </c>
      <c r="AB75">
        <v>1.19</v>
      </c>
      <c r="AC75">
        <v>0.15</v>
      </c>
      <c r="AD75">
        <v>0.05</v>
      </c>
      <c r="AE75" t="s">
        <v>137</v>
      </c>
    </row>
    <row r="76" spans="1:31" x14ac:dyDescent="0.3">
      <c r="A76" t="s">
        <v>80</v>
      </c>
      <c r="B76">
        <v>4</v>
      </c>
      <c r="C76" t="s">
        <v>137</v>
      </c>
      <c r="D76">
        <v>4</v>
      </c>
      <c r="E76">
        <v>3</v>
      </c>
      <c r="F76">
        <v>0.9</v>
      </c>
      <c r="G76">
        <v>0.9</v>
      </c>
      <c r="H76">
        <v>5.0000000000000001E-3</v>
      </c>
      <c r="I76">
        <v>120</v>
      </c>
      <c r="J76">
        <v>100</v>
      </c>
      <c r="K76">
        <v>0.87811300000000003</v>
      </c>
      <c r="L76">
        <v>2.0724999999999998</v>
      </c>
      <c r="M76">
        <v>26.48</v>
      </c>
      <c r="N76" t="s">
        <v>137</v>
      </c>
      <c r="O76" t="s">
        <v>137</v>
      </c>
      <c r="P76">
        <v>9.4750000000000008E-3</v>
      </c>
      <c r="Q76">
        <v>0.61715399999999998</v>
      </c>
      <c r="R76">
        <v>0.62662899999999999</v>
      </c>
      <c r="S76" t="s">
        <v>137</v>
      </c>
      <c r="T76">
        <v>0.25148399999999999</v>
      </c>
      <c r="U76">
        <v>1.2481000000000001E-2</v>
      </c>
      <c r="V76">
        <v>1.505E-3</v>
      </c>
      <c r="W76">
        <v>4.5399999999999998E-4</v>
      </c>
      <c r="X76" t="s">
        <v>137</v>
      </c>
      <c r="Y76">
        <v>71.36</v>
      </c>
      <c r="Z76" t="s">
        <v>137</v>
      </c>
      <c r="AA76">
        <v>28.64</v>
      </c>
      <c r="AB76">
        <v>1.42</v>
      </c>
      <c r="AC76">
        <v>0.17</v>
      </c>
      <c r="AD76">
        <v>0.05</v>
      </c>
      <c r="AE76" t="s">
        <v>137</v>
      </c>
    </row>
    <row r="77" spans="1:31" x14ac:dyDescent="0.3">
      <c r="A77" t="s">
        <v>81</v>
      </c>
      <c r="B77">
        <v>4</v>
      </c>
      <c r="C77" t="s">
        <v>137</v>
      </c>
      <c r="D77">
        <v>4</v>
      </c>
      <c r="E77">
        <v>3</v>
      </c>
      <c r="F77">
        <v>0.9</v>
      </c>
      <c r="G77">
        <v>0.9</v>
      </c>
      <c r="H77">
        <v>5.0000000000000001E-3</v>
      </c>
      <c r="I77">
        <v>120</v>
      </c>
      <c r="J77">
        <v>100</v>
      </c>
      <c r="K77">
        <v>3.3608609999999999</v>
      </c>
      <c r="L77">
        <v>6.3941569999999999</v>
      </c>
      <c r="M77">
        <v>100.6</v>
      </c>
      <c r="N77" t="s">
        <v>137</v>
      </c>
      <c r="O77" t="s">
        <v>137</v>
      </c>
      <c r="P77">
        <v>9.3290000000000005E-3</v>
      </c>
      <c r="Q77">
        <v>2.181997</v>
      </c>
      <c r="R77">
        <v>2.1913260000000001</v>
      </c>
      <c r="S77" t="s">
        <v>137</v>
      </c>
      <c r="T77">
        <v>1.1695340000000001</v>
      </c>
      <c r="U77">
        <v>5.2617999999999998E-2</v>
      </c>
      <c r="V77">
        <v>1.6019999999999999E-3</v>
      </c>
      <c r="W77">
        <v>1.8569999999999999E-3</v>
      </c>
      <c r="X77" t="s">
        <v>137</v>
      </c>
      <c r="Y77">
        <v>65.2</v>
      </c>
      <c r="Z77" t="s">
        <v>137</v>
      </c>
      <c r="AA77">
        <v>34.799999999999997</v>
      </c>
      <c r="AB77">
        <v>1.57</v>
      </c>
      <c r="AC77">
        <v>0.05</v>
      </c>
      <c r="AD77">
        <v>0.06</v>
      </c>
      <c r="AE77" t="s">
        <v>137</v>
      </c>
    </row>
    <row r="78" spans="1:31" x14ac:dyDescent="0.3">
      <c r="A78" t="s">
        <v>82</v>
      </c>
      <c r="B78">
        <v>4</v>
      </c>
      <c r="C78" t="s">
        <v>137</v>
      </c>
      <c r="D78">
        <v>4</v>
      </c>
      <c r="E78">
        <v>3</v>
      </c>
      <c r="F78">
        <v>0.9</v>
      </c>
      <c r="G78">
        <v>0.9</v>
      </c>
      <c r="H78">
        <v>5.0000000000000001E-3</v>
      </c>
      <c r="I78">
        <v>120</v>
      </c>
      <c r="J78">
        <v>100</v>
      </c>
      <c r="K78">
        <v>0.75449999999999995</v>
      </c>
      <c r="L78">
        <v>1.883475</v>
      </c>
      <c r="M78">
        <v>18.96</v>
      </c>
      <c r="N78" t="s">
        <v>137</v>
      </c>
      <c r="O78" t="s">
        <v>137</v>
      </c>
      <c r="P78">
        <v>8.3479999999999995E-3</v>
      </c>
      <c r="Q78">
        <v>0.53004300000000004</v>
      </c>
      <c r="R78">
        <v>0.53839000000000004</v>
      </c>
      <c r="S78" t="s">
        <v>137</v>
      </c>
      <c r="T78">
        <v>0.21611</v>
      </c>
      <c r="U78">
        <v>8.5369999999999994E-3</v>
      </c>
      <c r="V78">
        <v>2.2209999999999999E-3</v>
      </c>
      <c r="W78">
        <v>3.2400000000000001E-4</v>
      </c>
      <c r="X78" t="s">
        <v>137</v>
      </c>
      <c r="Y78">
        <v>71.36</v>
      </c>
      <c r="Z78" t="s">
        <v>137</v>
      </c>
      <c r="AA78">
        <v>28.64</v>
      </c>
      <c r="AB78">
        <v>1.1299999999999999</v>
      </c>
      <c r="AC78">
        <v>0.28999999999999998</v>
      </c>
      <c r="AD78">
        <v>0.04</v>
      </c>
      <c r="AE78" t="s">
        <v>137</v>
      </c>
    </row>
    <row r="79" spans="1:31" x14ac:dyDescent="0.3">
      <c r="A79" t="s">
        <v>83</v>
      </c>
      <c r="B79">
        <v>4</v>
      </c>
      <c r="C79" t="s">
        <v>137</v>
      </c>
      <c r="D79">
        <v>4</v>
      </c>
      <c r="E79">
        <v>3</v>
      </c>
      <c r="F79">
        <v>0.9</v>
      </c>
      <c r="G79">
        <v>0.9</v>
      </c>
      <c r="H79">
        <v>5.0000000000000001E-3</v>
      </c>
      <c r="I79">
        <v>120</v>
      </c>
      <c r="J79">
        <v>100</v>
      </c>
      <c r="K79">
        <v>3.9108559999999999</v>
      </c>
      <c r="L79">
        <v>8.1027609999999992</v>
      </c>
      <c r="M79">
        <v>106.42</v>
      </c>
      <c r="N79" t="s">
        <v>137</v>
      </c>
      <c r="O79" t="s">
        <v>137</v>
      </c>
      <c r="P79">
        <v>9.9450000000000007E-3</v>
      </c>
      <c r="Q79">
        <v>2.4161389999999998</v>
      </c>
      <c r="R79">
        <v>2.426085</v>
      </c>
      <c r="S79" t="s">
        <v>137</v>
      </c>
      <c r="T79">
        <v>1.4847710000000001</v>
      </c>
      <c r="U79">
        <v>5.5107000000000003E-2</v>
      </c>
      <c r="V79">
        <v>1.8749999999999999E-3</v>
      </c>
      <c r="W79">
        <v>1.98E-3</v>
      </c>
      <c r="X79" t="s">
        <v>137</v>
      </c>
      <c r="Y79">
        <v>62.03</v>
      </c>
      <c r="Z79" t="s">
        <v>137</v>
      </c>
      <c r="AA79">
        <v>37.97</v>
      </c>
      <c r="AB79">
        <v>1.41</v>
      </c>
      <c r="AC79">
        <v>0.05</v>
      </c>
      <c r="AD79">
        <v>0.05</v>
      </c>
      <c r="AE79" t="s">
        <v>137</v>
      </c>
    </row>
    <row r="80" spans="1:31" x14ac:dyDescent="0.3">
      <c r="A80" t="s">
        <v>84</v>
      </c>
      <c r="B80">
        <v>4</v>
      </c>
      <c r="C80" t="s">
        <v>137</v>
      </c>
      <c r="D80">
        <v>4</v>
      </c>
      <c r="E80">
        <v>3</v>
      </c>
      <c r="F80">
        <v>0.9</v>
      </c>
      <c r="G80">
        <v>0.9</v>
      </c>
      <c r="H80">
        <v>5.0000000000000001E-3</v>
      </c>
      <c r="I80">
        <v>120</v>
      </c>
      <c r="J80">
        <v>83</v>
      </c>
      <c r="K80">
        <v>16.503549</v>
      </c>
      <c r="L80">
        <v>24.958870000000001</v>
      </c>
      <c r="M80">
        <v>452.16</v>
      </c>
      <c r="N80" t="s">
        <v>137</v>
      </c>
      <c r="O80" t="s">
        <v>137</v>
      </c>
      <c r="P80">
        <v>1.0491E-2</v>
      </c>
      <c r="Q80">
        <v>7.8072189999999999</v>
      </c>
      <c r="R80">
        <v>7.8177099999999999</v>
      </c>
      <c r="S80" t="s">
        <v>137</v>
      </c>
      <c r="T80">
        <v>8.6858389999999996</v>
      </c>
      <c r="U80">
        <v>0.243032</v>
      </c>
      <c r="V80">
        <v>2.0479999999999999E-3</v>
      </c>
      <c r="W80">
        <v>8.7790000000000003E-3</v>
      </c>
      <c r="X80" t="s">
        <v>137</v>
      </c>
      <c r="Y80">
        <v>47.37</v>
      </c>
      <c r="Z80" t="s">
        <v>137</v>
      </c>
      <c r="AA80">
        <v>52.63</v>
      </c>
      <c r="AB80">
        <v>1.47</v>
      </c>
      <c r="AC80">
        <v>0.01</v>
      </c>
      <c r="AD80">
        <v>0.05</v>
      </c>
      <c r="AE80" t="s">
        <v>137</v>
      </c>
    </row>
    <row r="81" spans="1:31" x14ac:dyDescent="0.3">
      <c r="A81" t="s">
        <v>85</v>
      </c>
      <c r="B81">
        <v>4</v>
      </c>
      <c r="C81" t="s">
        <v>137</v>
      </c>
      <c r="D81">
        <v>4</v>
      </c>
      <c r="E81">
        <v>3</v>
      </c>
      <c r="F81">
        <v>0.9</v>
      </c>
      <c r="G81">
        <v>0.9</v>
      </c>
      <c r="H81">
        <v>5.0000000000000001E-3</v>
      </c>
      <c r="I81">
        <v>120</v>
      </c>
      <c r="J81">
        <v>100</v>
      </c>
      <c r="K81">
        <v>0.49069400000000002</v>
      </c>
      <c r="L81">
        <v>0.51557399999999998</v>
      </c>
      <c r="M81">
        <v>16.010000000000002</v>
      </c>
      <c r="N81" t="s">
        <v>137</v>
      </c>
      <c r="O81" t="s">
        <v>137</v>
      </c>
      <c r="P81">
        <v>8.7969999999999993E-3</v>
      </c>
      <c r="Q81">
        <v>0.35361999999999999</v>
      </c>
      <c r="R81">
        <v>0.36241699999999999</v>
      </c>
      <c r="S81" t="s">
        <v>137</v>
      </c>
      <c r="T81">
        <v>0.128278</v>
      </c>
      <c r="U81">
        <v>7.1659999999999996E-3</v>
      </c>
      <c r="V81">
        <v>1.2279999999999999E-3</v>
      </c>
      <c r="W81">
        <v>2.5900000000000001E-4</v>
      </c>
      <c r="X81" t="s">
        <v>137</v>
      </c>
      <c r="Y81">
        <v>73.86</v>
      </c>
      <c r="Z81" t="s">
        <v>137</v>
      </c>
      <c r="AA81">
        <v>26.14</v>
      </c>
      <c r="AB81">
        <v>1.46</v>
      </c>
      <c r="AC81">
        <v>0.25</v>
      </c>
      <c r="AD81">
        <v>0.05</v>
      </c>
      <c r="AE81" t="s">
        <v>137</v>
      </c>
    </row>
    <row r="82" spans="1:31" x14ac:dyDescent="0.3">
      <c r="A82" t="s">
        <v>86</v>
      </c>
      <c r="B82">
        <v>4</v>
      </c>
      <c r="C82" t="s">
        <v>137</v>
      </c>
      <c r="D82">
        <v>4</v>
      </c>
      <c r="E82">
        <v>3</v>
      </c>
      <c r="F82">
        <v>0.9</v>
      </c>
      <c r="G82">
        <v>0.9</v>
      </c>
      <c r="H82">
        <v>5.0000000000000001E-3</v>
      </c>
      <c r="I82">
        <v>120</v>
      </c>
      <c r="J82">
        <v>95</v>
      </c>
      <c r="K82">
        <v>9.0419750000000008</v>
      </c>
      <c r="L82">
        <v>20.011809</v>
      </c>
      <c r="M82">
        <v>295.20999999999998</v>
      </c>
      <c r="N82" t="s">
        <v>137</v>
      </c>
      <c r="O82" t="s">
        <v>137</v>
      </c>
      <c r="P82">
        <v>8.9440000000000006E-3</v>
      </c>
      <c r="Q82">
        <v>3.9555250000000002</v>
      </c>
      <c r="R82">
        <v>3.9644699999999999</v>
      </c>
      <c r="S82" t="s">
        <v>137</v>
      </c>
      <c r="T82">
        <v>5.0775059999999996</v>
      </c>
      <c r="U82">
        <v>0.14091300000000001</v>
      </c>
      <c r="V82">
        <v>2.0140000000000002E-3</v>
      </c>
      <c r="W82">
        <v>4.6100000000000004E-3</v>
      </c>
      <c r="X82" t="s">
        <v>137</v>
      </c>
      <c r="Y82">
        <v>43.85</v>
      </c>
      <c r="Z82" t="s">
        <v>137</v>
      </c>
      <c r="AA82">
        <v>56.15</v>
      </c>
      <c r="AB82">
        <v>1.56</v>
      </c>
      <c r="AC82">
        <v>0.02</v>
      </c>
      <c r="AD82">
        <v>0.05</v>
      </c>
      <c r="AE82" t="s">
        <v>137</v>
      </c>
    </row>
    <row r="83" spans="1:31" x14ac:dyDescent="0.3">
      <c r="A83" t="s">
        <v>87</v>
      </c>
      <c r="B83">
        <v>4</v>
      </c>
      <c r="C83" t="s">
        <v>137</v>
      </c>
      <c r="D83">
        <v>4</v>
      </c>
      <c r="E83">
        <v>3</v>
      </c>
      <c r="F83">
        <v>0.9</v>
      </c>
      <c r="G83">
        <v>0.9</v>
      </c>
      <c r="H83">
        <v>5.0000000000000001E-3</v>
      </c>
      <c r="I83">
        <v>120</v>
      </c>
      <c r="J83">
        <v>100</v>
      </c>
      <c r="K83">
        <v>3.5588340000000001</v>
      </c>
      <c r="L83">
        <v>5.6819980000000001</v>
      </c>
      <c r="M83">
        <v>79.47</v>
      </c>
      <c r="N83" t="s">
        <v>137</v>
      </c>
      <c r="O83" t="s">
        <v>137</v>
      </c>
      <c r="P83">
        <v>9.1070000000000005E-3</v>
      </c>
      <c r="Q83">
        <v>2.4446729999999999</v>
      </c>
      <c r="R83">
        <v>2.4537800000000001</v>
      </c>
      <c r="S83" t="s">
        <v>137</v>
      </c>
      <c r="T83">
        <v>1.105054</v>
      </c>
      <c r="U83">
        <v>3.9128999999999997E-2</v>
      </c>
      <c r="V83">
        <v>2.5140000000000002E-3</v>
      </c>
      <c r="W83">
        <v>1.4499999999999999E-3</v>
      </c>
      <c r="X83" t="s">
        <v>137</v>
      </c>
      <c r="Y83">
        <v>68.95</v>
      </c>
      <c r="Z83" t="s">
        <v>137</v>
      </c>
      <c r="AA83">
        <v>31.05</v>
      </c>
      <c r="AB83">
        <v>1.1000000000000001</v>
      </c>
      <c r="AC83">
        <v>7.0000000000000007E-2</v>
      </c>
      <c r="AD83">
        <v>0.04</v>
      </c>
      <c r="AE83" t="s">
        <v>137</v>
      </c>
    </row>
    <row r="84" spans="1:31" x14ac:dyDescent="0.3">
      <c r="A84" t="s">
        <v>88</v>
      </c>
      <c r="B84">
        <v>4</v>
      </c>
      <c r="C84" t="s">
        <v>137</v>
      </c>
      <c r="D84">
        <v>4</v>
      </c>
      <c r="E84">
        <v>3</v>
      </c>
      <c r="F84">
        <v>0.9</v>
      </c>
      <c r="G84">
        <v>0.9</v>
      </c>
      <c r="H84">
        <v>5.0000000000000001E-3</v>
      </c>
      <c r="I84">
        <v>120</v>
      </c>
      <c r="J84">
        <v>100</v>
      </c>
      <c r="K84">
        <v>10.501889</v>
      </c>
      <c r="L84">
        <v>17.669927999999999</v>
      </c>
      <c r="M84">
        <v>230.4</v>
      </c>
      <c r="N84" t="s">
        <v>137</v>
      </c>
      <c r="O84" t="s">
        <v>137</v>
      </c>
      <c r="P84">
        <v>9.162E-3</v>
      </c>
      <c r="Q84">
        <v>5.6310779999999996</v>
      </c>
      <c r="R84">
        <v>5.6402390000000002</v>
      </c>
      <c r="S84" t="s">
        <v>137</v>
      </c>
      <c r="T84">
        <v>4.8616489999999999</v>
      </c>
      <c r="U84">
        <v>0.116366</v>
      </c>
      <c r="V84">
        <v>2.4710000000000001E-3</v>
      </c>
      <c r="W84">
        <v>4.3059999999999999E-3</v>
      </c>
      <c r="X84" t="s">
        <v>137</v>
      </c>
      <c r="Y84">
        <v>53.71</v>
      </c>
      <c r="Z84" t="s">
        <v>137</v>
      </c>
      <c r="AA84">
        <v>46.29</v>
      </c>
      <c r="AB84">
        <v>1.1100000000000001</v>
      </c>
      <c r="AC84">
        <v>0.02</v>
      </c>
      <c r="AD84">
        <v>0.04</v>
      </c>
      <c r="AE84" t="s">
        <v>137</v>
      </c>
    </row>
    <row r="85" spans="1:31" x14ac:dyDescent="0.3">
      <c r="A85" t="s">
        <v>89</v>
      </c>
      <c r="B85">
        <v>4</v>
      </c>
      <c r="C85" t="s">
        <v>137</v>
      </c>
      <c r="D85">
        <v>4</v>
      </c>
      <c r="E85">
        <v>3</v>
      </c>
      <c r="F85">
        <v>0.9</v>
      </c>
      <c r="G85">
        <v>0.9</v>
      </c>
      <c r="H85">
        <v>5.0000000000000001E-3</v>
      </c>
      <c r="I85">
        <v>120</v>
      </c>
      <c r="J85">
        <v>100</v>
      </c>
      <c r="K85">
        <v>0.97870100000000004</v>
      </c>
      <c r="L85">
        <v>1.7749980000000001</v>
      </c>
      <c r="M85">
        <v>25.47</v>
      </c>
      <c r="N85" t="s">
        <v>137</v>
      </c>
      <c r="O85" t="s">
        <v>137</v>
      </c>
      <c r="P85">
        <v>8.9840000000000007E-3</v>
      </c>
      <c r="Q85">
        <v>0.71368299999999996</v>
      </c>
      <c r="R85">
        <v>0.72266699999999995</v>
      </c>
      <c r="S85" t="s">
        <v>137</v>
      </c>
      <c r="T85">
        <v>0.25603399999999998</v>
      </c>
      <c r="U85">
        <v>1.1729E-2</v>
      </c>
      <c r="V85">
        <v>2.0869999999999999E-3</v>
      </c>
      <c r="W85">
        <v>4.2000000000000002E-4</v>
      </c>
      <c r="X85" t="s">
        <v>137</v>
      </c>
      <c r="Y85">
        <v>73.84</v>
      </c>
      <c r="Z85" t="s">
        <v>137</v>
      </c>
      <c r="AA85">
        <v>26.16</v>
      </c>
      <c r="AB85">
        <v>1.2</v>
      </c>
      <c r="AC85">
        <v>0.21</v>
      </c>
      <c r="AD85">
        <v>0.04</v>
      </c>
      <c r="AE85" t="s">
        <v>137</v>
      </c>
    </row>
    <row r="86" spans="1:31" x14ac:dyDescent="0.3">
      <c r="A86" t="s">
        <v>90</v>
      </c>
      <c r="B86">
        <v>4</v>
      </c>
      <c r="C86" t="s">
        <v>137</v>
      </c>
      <c r="D86">
        <v>4</v>
      </c>
      <c r="E86">
        <v>3</v>
      </c>
      <c r="F86">
        <v>0.9</v>
      </c>
      <c r="G86">
        <v>0.9</v>
      </c>
      <c r="H86">
        <v>5.0000000000000001E-3</v>
      </c>
      <c r="I86">
        <v>120</v>
      </c>
      <c r="J86">
        <v>98</v>
      </c>
      <c r="K86">
        <v>9.2409470000000002</v>
      </c>
      <c r="L86">
        <v>15.566227</v>
      </c>
      <c r="M86">
        <v>198.89</v>
      </c>
      <c r="N86" t="s">
        <v>137</v>
      </c>
      <c r="O86" t="s">
        <v>137</v>
      </c>
      <c r="P86">
        <v>9.6419999999999995E-3</v>
      </c>
      <c r="Q86">
        <v>5.2469659999999996</v>
      </c>
      <c r="R86">
        <v>5.2566079999999999</v>
      </c>
      <c r="S86" t="s">
        <v>137</v>
      </c>
      <c r="T86">
        <v>3.9843389999999999</v>
      </c>
      <c r="U86">
        <v>0.10297099999999999</v>
      </c>
      <c r="V86">
        <v>2.5140000000000002E-3</v>
      </c>
      <c r="W86">
        <v>4.1120000000000002E-3</v>
      </c>
      <c r="X86" t="s">
        <v>137</v>
      </c>
      <c r="Y86">
        <v>56.88</v>
      </c>
      <c r="Z86" t="s">
        <v>137</v>
      </c>
      <c r="AA86">
        <v>43.12</v>
      </c>
      <c r="AB86">
        <v>1.1100000000000001</v>
      </c>
      <c r="AC86">
        <v>0.03</v>
      </c>
      <c r="AD86">
        <v>0.04</v>
      </c>
      <c r="AE86" t="s">
        <v>137</v>
      </c>
    </row>
    <row r="87" spans="1:31" x14ac:dyDescent="0.3">
      <c r="A87" t="s">
        <v>91</v>
      </c>
      <c r="B87">
        <v>4</v>
      </c>
      <c r="C87" t="s">
        <v>137</v>
      </c>
      <c r="D87">
        <v>4</v>
      </c>
      <c r="E87">
        <v>3</v>
      </c>
      <c r="F87">
        <v>0.9</v>
      </c>
      <c r="G87">
        <v>0.9</v>
      </c>
      <c r="H87">
        <v>5.0000000000000001E-3</v>
      </c>
      <c r="I87">
        <v>120</v>
      </c>
      <c r="J87">
        <v>84</v>
      </c>
      <c r="K87">
        <v>20.023738999999999</v>
      </c>
      <c r="L87">
        <v>29.104368000000001</v>
      </c>
      <c r="M87">
        <v>475.17</v>
      </c>
      <c r="N87" t="s">
        <v>137</v>
      </c>
      <c r="O87" t="s">
        <v>137</v>
      </c>
      <c r="P87">
        <v>1.0314E-2</v>
      </c>
      <c r="Q87">
        <v>8.9854789999999998</v>
      </c>
      <c r="R87">
        <v>8.9957930000000008</v>
      </c>
      <c r="S87" t="s">
        <v>137</v>
      </c>
      <c r="T87">
        <v>11.027946999999999</v>
      </c>
      <c r="U87">
        <v>0.24771899999999999</v>
      </c>
      <c r="V87">
        <v>2.134E-3</v>
      </c>
      <c r="W87">
        <v>9.0600000000000003E-3</v>
      </c>
      <c r="X87" t="s">
        <v>137</v>
      </c>
      <c r="Y87">
        <v>44.93</v>
      </c>
      <c r="Z87" t="s">
        <v>137</v>
      </c>
      <c r="AA87">
        <v>55.07</v>
      </c>
      <c r="AB87">
        <v>1.24</v>
      </c>
      <c r="AC87">
        <v>0.01</v>
      </c>
      <c r="AD87">
        <v>0.05</v>
      </c>
      <c r="AE87" t="s">
        <v>137</v>
      </c>
    </row>
    <row r="88" spans="1:31" x14ac:dyDescent="0.3">
      <c r="A88" t="s">
        <v>92</v>
      </c>
      <c r="B88">
        <v>4</v>
      </c>
      <c r="C88" t="s">
        <v>137</v>
      </c>
      <c r="D88">
        <v>4</v>
      </c>
      <c r="E88">
        <v>3</v>
      </c>
      <c r="F88">
        <v>0.9</v>
      </c>
      <c r="G88">
        <v>0.9</v>
      </c>
      <c r="H88">
        <v>5.0000000000000001E-3</v>
      </c>
      <c r="I88">
        <v>120</v>
      </c>
      <c r="J88">
        <v>95</v>
      </c>
      <c r="K88">
        <v>12.004467</v>
      </c>
      <c r="L88">
        <v>15.366184000000001</v>
      </c>
      <c r="M88">
        <v>248.38</v>
      </c>
      <c r="N88" t="s">
        <v>137</v>
      </c>
      <c r="O88" t="s">
        <v>137</v>
      </c>
      <c r="P88">
        <v>1.1140000000000001E-2</v>
      </c>
      <c r="Q88">
        <v>6.9433499999999997</v>
      </c>
      <c r="R88">
        <v>6.9544889999999997</v>
      </c>
      <c r="S88" t="s">
        <v>137</v>
      </c>
      <c r="T88">
        <v>5.0499770000000002</v>
      </c>
      <c r="U88">
        <v>0.145092</v>
      </c>
      <c r="V88">
        <v>2.748E-3</v>
      </c>
      <c r="W88">
        <v>5.6179999999999997E-3</v>
      </c>
      <c r="X88" t="s">
        <v>137</v>
      </c>
      <c r="Y88">
        <v>57.93</v>
      </c>
      <c r="Z88" t="s">
        <v>137</v>
      </c>
      <c r="AA88">
        <v>42.07</v>
      </c>
      <c r="AB88">
        <v>1.21</v>
      </c>
      <c r="AC88">
        <v>0.02</v>
      </c>
      <c r="AD88">
        <v>0.05</v>
      </c>
      <c r="AE88" t="s">
        <v>137</v>
      </c>
    </row>
    <row r="89" spans="1:31" x14ac:dyDescent="0.3">
      <c r="A89" t="s">
        <v>93</v>
      </c>
      <c r="B89">
        <v>4</v>
      </c>
      <c r="C89" t="s">
        <v>137</v>
      </c>
      <c r="D89">
        <v>4</v>
      </c>
      <c r="E89">
        <v>3</v>
      </c>
      <c r="F89">
        <v>0.9</v>
      </c>
      <c r="G89">
        <v>0.9</v>
      </c>
      <c r="H89">
        <v>5.0000000000000001E-3</v>
      </c>
      <c r="I89">
        <v>120</v>
      </c>
      <c r="J89">
        <v>100</v>
      </c>
      <c r="K89">
        <v>2.1248580000000001</v>
      </c>
      <c r="L89">
        <v>3.9893399999999999</v>
      </c>
      <c r="M89">
        <v>45.26</v>
      </c>
      <c r="N89" t="s">
        <v>137</v>
      </c>
      <c r="O89" t="s">
        <v>137</v>
      </c>
      <c r="P89">
        <v>1.495E-2</v>
      </c>
      <c r="Q89">
        <v>1.5074829999999999</v>
      </c>
      <c r="R89">
        <v>1.5224340000000001</v>
      </c>
      <c r="S89" t="s">
        <v>137</v>
      </c>
      <c r="T89">
        <v>0.60242399999999996</v>
      </c>
      <c r="U89">
        <v>3.5594000000000001E-2</v>
      </c>
      <c r="V89">
        <v>2.5899999999999999E-3</v>
      </c>
      <c r="W89">
        <v>1.0709999999999999E-3</v>
      </c>
      <c r="X89" t="s">
        <v>137</v>
      </c>
      <c r="Y89">
        <v>71.650000000000006</v>
      </c>
      <c r="Z89" t="s">
        <v>137</v>
      </c>
      <c r="AA89">
        <v>28.35</v>
      </c>
      <c r="AB89">
        <v>1.68</v>
      </c>
      <c r="AC89">
        <v>0.12</v>
      </c>
      <c r="AD89">
        <v>0.05</v>
      </c>
      <c r="AE89" t="s">
        <v>137</v>
      </c>
    </row>
    <row r="90" spans="1:31" x14ac:dyDescent="0.3">
      <c r="A90" t="s">
        <v>94</v>
      </c>
      <c r="B90">
        <v>4</v>
      </c>
      <c r="C90" t="s">
        <v>137</v>
      </c>
      <c r="D90">
        <v>4</v>
      </c>
      <c r="E90">
        <v>3</v>
      </c>
      <c r="F90">
        <v>0.9</v>
      </c>
      <c r="G90">
        <v>0.9</v>
      </c>
      <c r="H90">
        <v>5.0000000000000001E-3</v>
      </c>
      <c r="I90">
        <v>120</v>
      </c>
      <c r="J90">
        <v>91</v>
      </c>
      <c r="K90">
        <v>13.868729</v>
      </c>
      <c r="L90">
        <v>21.298055999999999</v>
      </c>
      <c r="M90">
        <v>339.34</v>
      </c>
      <c r="N90" t="s">
        <v>137</v>
      </c>
      <c r="O90" t="s">
        <v>137</v>
      </c>
      <c r="P90">
        <v>1.11E-2</v>
      </c>
      <c r="Q90">
        <v>6.7155209999999999</v>
      </c>
      <c r="R90">
        <v>6.7266219999999999</v>
      </c>
      <c r="S90" t="s">
        <v>137</v>
      </c>
      <c r="T90">
        <v>7.1421070000000002</v>
      </c>
      <c r="U90">
        <v>0.20259199999999999</v>
      </c>
      <c r="V90">
        <v>3.2049999999999999E-3</v>
      </c>
      <c r="W90">
        <v>6.0720000000000001E-3</v>
      </c>
      <c r="X90" t="s">
        <v>137</v>
      </c>
      <c r="Y90">
        <v>48.5</v>
      </c>
      <c r="Z90" t="s">
        <v>137</v>
      </c>
      <c r="AA90">
        <v>51.5</v>
      </c>
      <c r="AB90">
        <v>1.46</v>
      </c>
      <c r="AC90">
        <v>0.02</v>
      </c>
      <c r="AD90">
        <v>0.04</v>
      </c>
      <c r="AE90" t="s">
        <v>137</v>
      </c>
    </row>
    <row r="91" spans="1:31" x14ac:dyDescent="0.3">
      <c r="A91" t="s">
        <v>95</v>
      </c>
      <c r="B91">
        <v>4</v>
      </c>
      <c r="C91" t="s">
        <v>137</v>
      </c>
      <c r="D91">
        <v>4</v>
      </c>
      <c r="E91">
        <v>3</v>
      </c>
      <c r="F91">
        <v>0.9</v>
      </c>
      <c r="G91">
        <v>0.9</v>
      </c>
      <c r="H91">
        <v>5.0000000000000001E-3</v>
      </c>
      <c r="I91">
        <v>120</v>
      </c>
      <c r="J91">
        <v>100</v>
      </c>
      <c r="K91">
        <v>1.5216000000000001</v>
      </c>
      <c r="L91">
        <v>2.7841119999999999</v>
      </c>
      <c r="M91">
        <v>47.58</v>
      </c>
      <c r="N91" t="s">
        <v>137</v>
      </c>
      <c r="O91" t="s">
        <v>137</v>
      </c>
      <c r="P91">
        <v>7.2230000000000003E-3</v>
      </c>
      <c r="Q91">
        <v>1.098584</v>
      </c>
      <c r="R91">
        <v>1.105807</v>
      </c>
      <c r="S91" t="s">
        <v>137</v>
      </c>
      <c r="T91">
        <v>0.41579300000000002</v>
      </c>
      <c r="U91">
        <v>1.9661999999999999E-2</v>
      </c>
      <c r="V91">
        <v>1.8370000000000001E-3</v>
      </c>
      <c r="W91">
        <v>6.8800000000000003E-4</v>
      </c>
      <c r="X91" t="s">
        <v>137</v>
      </c>
      <c r="Y91">
        <v>72.67</v>
      </c>
      <c r="Z91" t="s">
        <v>137</v>
      </c>
      <c r="AA91">
        <v>27.33</v>
      </c>
      <c r="AB91">
        <v>1.29</v>
      </c>
      <c r="AC91">
        <v>0.12</v>
      </c>
      <c r="AD91">
        <v>0.05</v>
      </c>
      <c r="AE91" t="s">
        <v>137</v>
      </c>
    </row>
    <row r="92" spans="1:31" x14ac:dyDescent="0.3">
      <c r="A92" t="s">
        <v>96</v>
      </c>
      <c r="B92">
        <v>4</v>
      </c>
      <c r="C92" t="s">
        <v>137</v>
      </c>
      <c r="D92">
        <v>4</v>
      </c>
      <c r="E92">
        <v>3</v>
      </c>
      <c r="F92">
        <v>0.9</v>
      </c>
      <c r="G92">
        <v>0.9</v>
      </c>
      <c r="H92">
        <v>5.0000000000000001E-3</v>
      </c>
      <c r="I92">
        <v>120</v>
      </c>
      <c r="J92">
        <v>100</v>
      </c>
      <c r="K92">
        <v>1.6862980000000001</v>
      </c>
      <c r="L92">
        <v>3.2867350000000002</v>
      </c>
      <c r="M92">
        <v>56.43</v>
      </c>
      <c r="N92" t="s">
        <v>137</v>
      </c>
      <c r="O92" t="s">
        <v>137</v>
      </c>
      <c r="P92">
        <v>7.8370000000000002E-3</v>
      </c>
      <c r="Q92">
        <v>1.1540809999999999</v>
      </c>
      <c r="R92">
        <v>1.161918</v>
      </c>
      <c r="S92" t="s">
        <v>137</v>
      </c>
      <c r="T92">
        <v>0.52437999999999996</v>
      </c>
      <c r="U92">
        <v>2.5187000000000001E-2</v>
      </c>
      <c r="V92">
        <v>1.2080000000000001E-3</v>
      </c>
      <c r="W92">
        <v>8.4699999999999999E-4</v>
      </c>
      <c r="X92" t="s">
        <v>137</v>
      </c>
      <c r="Y92">
        <v>68.900000000000006</v>
      </c>
      <c r="Z92" t="s">
        <v>137</v>
      </c>
      <c r="AA92">
        <v>31.1</v>
      </c>
      <c r="AB92">
        <v>1.49</v>
      </c>
      <c r="AC92">
        <v>7.0000000000000007E-2</v>
      </c>
      <c r="AD92">
        <v>0.05</v>
      </c>
      <c r="AE92" t="s">
        <v>137</v>
      </c>
    </row>
    <row r="93" spans="1:31" x14ac:dyDescent="0.3">
      <c r="A93" t="s">
        <v>97</v>
      </c>
      <c r="B93">
        <v>4</v>
      </c>
      <c r="C93" t="s">
        <v>137</v>
      </c>
      <c r="D93">
        <v>4</v>
      </c>
      <c r="E93">
        <v>3</v>
      </c>
      <c r="F93">
        <v>0.9</v>
      </c>
      <c r="G93">
        <v>0.9</v>
      </c>
      <c r="H93">
        <v>5.0000000000000001E-3</v>
      </c>
      <c r="I93">
        <v>120</v>
      </c>
      <c r="J93">
        <v>100</v>
      </c>
      <c r="K93">
        <v>2.968188</v>
      </c>
      <c r="L93">
        <v>6.5055800000000001</v>
      </c>
      <c r="M93">
        <v>70.81</v>
      </c>
      <c r="N93" t="s">
        <v>137</v>
      </c>
      <c r="O93" t="s">
        <v>137</v>
      </c>
      <c r="P93">
        <v>9.7979999999999994E-3</v>
      </c>
      <c r="Q93">
        <v>1.9039250000000001</v>
      </c>
      <c r="R93">
        <v>1.9137230000000001</v>
      </c>
      <c r="S93" t="s">
        <v>137</v>
      </c>
      <c r="T93">
        <v>1.0544640000000001</v>
      </c>
      <c r="U93">
        <v>4.2039E-2</v>
      </c>
      <c r="V93">
        <v>2.532E-3</v>
      </c>
      <c r="W93">
        <v>1.403E-3</v>
      </c>
      <c r="X93" t="s">
        <v>137</v>
      </c>
      <c r="Y93">
        <v>64.47</v>
      </c>
      <c r="Z93" t="s">
        <v>137</v>
      </c>
      <c r="AA93">
        <v>35.53</v>
      </c>
      <c r="AB93">
        <v>1.42</v>
      </c>
      <c r="AC93">
        <v>0.09</v>
      </c>
      <c r="AD93">
        <v>0.05</v>
      </c>
      <c r="AE93" t="s">
        <v>137</v>
      </c>
    </row>
    <row r="94" spans="1:31" x14ac:dyDescent="0.3">
      <c r="A94" t="s">
        <v>98</v>
      </c>
      <c r="B94">
        <v>4</v>
      </c>
      <c r="C94" t="s">
        <v>137</v>
      </c>
      <c r="D94">
        <v>4</v>
      </c>
      <c r="E94">
        <v>3</v>
      </c>
      <c r="F94">
        <v>0.9</v>
      </c>
      <c r="G94">
        <v>0.9</v>
      </c>
      <c r="H94">
        <v>5.0000000000000001E-3</v>
      </c>
      <c r="I94">
        <v>120</v>
      </c>
      <c r="J94">
        <v>99</v>
      </c>
      <c r="K94">
        <v>3.365237</v>
      </c>
      <c r="L94">
        <v>4.2043270000000001</v>
      </c>
      <c r="M94">
        <v>65.760000000000005</v>
      </c>
      <c r="N94" t="s">
        <v>137</v>
      </c>
      <c r="O94" t="s">
        <v>137</v>
      </c>
      <c r="P94">
        <v>1.1006E-2</v>
      </c>
      <c r="Q94">
        <v>2.4332449999999999</v>
      </c>
      <c r="R94">
        <v>2.4442499999999998</v>
      </c>
      <c r="S94" t="s">
        <v>137</v>
      </c>
      <c r="T94">
        <v>0.92098599999999997</v>
      </c>
      <c r="U94">
        <v>4.2895999999999997E-2</v>
      </c>
      <c r="V94">
        <v>2.9020000000000001E-3</v>
      </c>
      <c r="W94">
        <v>1.5499999999999999E-3</v>
      </c>
      <c r="X94" t="s">
        <v>137</v>
      </c>
      <c r="Y94">
        <v>72.63</v>
      </c>
      <c r="Z94" t="s">
        <v>137</v>
      </c>
      <c r="AA94">
        <v>27.37</v>
      </c>
      <c r="AB94">
        <v>1.27</v>
      </c>
      <c r="AC94">
        <v>0.09</v>
      </c>
      <c r="AD94">
        <v>0.05</v>
      </c>
      <c r="AE94" t="s">
        <v>137</v>
      </c>
    </row>
    <row r="95" spans="1:31" x14ac:dyDescent="0.3">
      <c r="A95" t="s">
        <v>99</v>
      </c>
      <c r="B95">
        <v>4</v>
      </c>
      <c r="C95" t="s">
        <v>137</v>
      </c>
      <c r="D95">
        <v>4</v>
      </c>
      <c r="E95">
        <v>3</v>
      </c>
      <c r="F95">
        <v>0.9</v>
      </c>
      <c r="G95">
        <v>0.9</v>
      </c>
      <c r="H95">
        <v>5.0000000000000001E-3</v>
      </c>
      <c r="I95">
        <v>120</v>
      </c>
      <c r="J95">
        <v>100</v>
      </c>
      <c r="K95">
        <v>3.1383070000000002</v>
      </c>
      <c r="L95">
        <v>5.0799649999999996</v>
      </c>
      <c r="M95">
        <v>76.8</v>
      </c>
      <c r="N95" t="s">
        <v>137</v>
      </c>
      <c r="O95" t="s">
        <v>137</v>
      </c>
      <c r="P95">
        <v>1.1147000000000001E-2</v>
      </c>
      <c r="Q95">
        <v>2.1226210000000001</v>
      </c>
      <c r="R95">
        <v>2.1337679999999999</v>
      </c>
      <c r="S95" t="s">
        <v>137</v>
      </c>
      <c r="T95">
        <v>1.0045390000000001</v>
      </c>
      <c r="U95">
        <v>4.9159000000000001E-2</v>
      </c>
      <c r="V95">
        <v>2.4250000000000001E-3</v>
      </c>
      <c r="W95">
        <v>1.678E-3</v>
      </c>
      <c r="X95" t="s">
        <v>137</v>
      </c>
      <c r="Y95">
        <v>67.989999999999995</v>
      </c>
      <c r="Z95" t="s">
        <v>137</v>
      </c>
      <c r="AA95">
        <v>32.01</v>
      </c>
      <c r="AB95">
        <v>1.57</v>
      </c>
      <c r="AC95">
        <v>0.08</v>
      </c>
      <c r="AD95">
        <v>0.05</v>
      </c>
      <c r="AE95" t="s">
        <v>137</v>
      </c>
    </row>
    <row r="96" spans="1:31" x14ac:dyDescent="0.3">
      <c r="A96" t="s">
        <v>100</v>
      </c>
      <c r="B96">
        <v>4</v>
      </c>
      <c r="C96" t="s">
        <v>137</v>
      </c>
      <c r="D96">
        <v>4</v>
      </c>
      <c r="E96">
        <v>3</v>
      </c>
      <c r="F96">
        <v>0.9</v>
      </c>
      <c r="G96">
        <v>0.9</v>
      </c>
      <c r="H96">
        <v>5.0000000000000001E-3</v>
      </c>
      <c r="I96">
        <v>120</v>
      </c>
      <c r="J96">
        <v>100</v>
      </c>
      <c r="K96">
        <v>11.451577</v>
      </c>
      <c r="L96">
        <v>19.572918000000001</v>
      </c>
      <c r="M96">
        <v>303.58</v>
      </c>
      <c r="N96" t="s">
        <v>137</v>
      </c>
      <c r="O96" t="s">
        <v>137</v>
      </c>
      <c r="P96">
        <v>1.0744E-2</v>
      </c>
      <c r="Q96">
        <v>5.7544519999999997</v>
      </c>
      <c r="R96">
        <v>5.7651950000000003</v>
      </c>
      <c r="S96" t="s">
        <v>137</v>
      </c>
      <c r="T96">
        <v>5.6863809999999999</v>
      </c>
      <c r="U96">
        <v>0.16277800000000001</v>
      </c>
      <c r="V96">
        <v>3.039E-3</v>
      </c>
      <c r="W96">
        <v>6.502E-3</v>
      </c>
      <c r="X96" t="s">
        <v>137</v>
      </c>
      <c r="Y96">
        <v>50.34</v>
      </c>
      <c r="Z96" t="s">
        <v>137</v>
      </c>
      <c r="AA96">
        <v>49.66</v>
      </c>
      <c r="AB96">
        <v>1.42</v>
      </c>
      <c r="AC96">
        <v>0.03</v>
      </c>
      <c r="AD96">
        <v>0.06</v>
      </c>
      <c r="AE96" t="s">
        <v>137</v>
      </c>
    </row>
    <row r="97" spans="1:31" x14ac:dyDescent="0.3">
      <c r="A97" t="s">
        <v>101</v>
      </c>
      <c r="B97">
        <v>4</v>
      </c>
      <c r="C97" t="s">
        <v>137</v>
      </c>
      <c r="D97">
        <v>4</v>
      </c>
      <c r="E97">
        <v>3</v>
      </c>
      <c r="F97">
        <v>0.9</v>
      </c>
      <c r="G97">
        <v>0.9</v>
      </c>
      <c r="H97">
        <v>5.0000000000000001E-3</v>
      </c>
      <c r="I97">
        <v>120</v>
      </c>
      <c r="J97">
        <v>99</v>
      </c>
      <c r="K97">
        <v>9.9678740000000001</v>
      </c>
      <c r="L97">
        <v>16.524001999999999</v>
      </c>
      <c r="M97">
        <v>278.08999999999997</v>
      </c>
      <c r="N97" t="s">
        <v>137</v>
      </c>
      <c r="O97" t="s">
        <v>137</v>
      </c>
      <c r="P97">
        <v>6.9030000000000003E-3</v>
      </c>
      <c r="Q97">
        <v>4.6157649999999997</v>
      </c>
      <c r="R97">
        <v>4.6226690000000001</v>
      </c>
      <c r="S97" t="s">
        <v>137</v>
      </c>
      <c r="T97">
        <v>5.345205</v>
      </c>
      <c r="U97">
        <v>0.132108</v>
      </c>
      <c r="V97">
        <v>1.681E-3</v>
      </c>
      <c r="W97">
        <v>3.8189999999999999E-3</v>
      </c>
      <c r="X97" t="s">
        <v>137</v>
      </c>
      <c r="Y97">
        <v>46.38</v>
      </c>
      <c r="Z97" t="s">
        <v>137</v>
      </c>
      <c r="AA97">
        <v>53.62</v>
      </c>
      <c r="AB97">
        <v>1.33</v>
      </c>
      <c r="AC97">
        <v>0.02</v>
      </c>
      <c r="AD97">
        <v>0.04</v>
      </c>
      <c r="AE97" t="s">
        <v>137</v>
      </c>
    </row>
    <row r="98" spans="1:31" x14ac:dyDescent="0.3">
      <c r="A98" t="s">
        <v>102</v>
      </c>
      <c r="B98">
        <v>4</v>
      </c>
      <c r="C98" t="s">
        <v>137</v>
      </c>
      <c r="D98">
        <v>4</v>
      </c>
      <c r="E98">
        <v>3</v>
      </c>
      <c r="F98">
        <v>0.9</v>
      </c>
      <c r="G98">
        <v>0.9</v>
      </c>
      <c r="H98">
        <v>5.0000000000000001E-3</v>
      </c>
      <c r="I98">
        <v>120</v>
      </c>
      <c r="J98">
        <v>100</v>
      </c>
      <c r="K98">
        <v>0.35149900000000001</v>
      </c>
      <c r="L98">
        <v>0.51771800000000001</v>
      </c>
      <c r="M98">
        <v>15.15</v>
      </c>
      <c r="N98" t="s">
        <v>137</v>
      </c>
      <c r="O98" t="s">
        <v>137</v>
      </c>
      <c r="P98">
        <v>7.4219999999999998E-3</v>
      </c>
      <c r="Q98">
        <v>0.249748</v>
      </c>
      <c r="R98">
        <v>0.25717000000000001</v>
      </c>
      <c r="S98" t="s">
        <v>137</v>
      </c>
      <c r="T98">
        <v>9.4327999999999995E-2</v>
      </c>
      <c r="U98">
        <v>5.3660000000000001E-3</v>
      </c>
      <c r="V98">
        <v>1.3079999999999999E-3</v>
      </c>
      <c r="W98">
        <v>2.2000000000000001E-4</v>
      </c>
      <c r="X98" t="s">
        <v>137</v>
      </c>
      <c r="Y98">
        <v>73.16</v>
      </c>
      <c r="Z98" t="s">
        <v>137</v>
      </c>
      <c r="AA98">
        <v>26.84</v>
      </c>
      <c r="AB98">
        <v>1.53</v>
      </c>
      <c r="AC98">
        <v>0.37</v>
      </c>
      <c r="AD98">
        <v>0.06</v>
      </c>
      <c r="AE98" t="s">
        <v>137</v>
      </c>
    </row>
    <row r="99" spans="1:31" x14ac:dyDescent="0.3">
      <c r="A99" t="s">
        <v>103</v>
      </c>
      <c r="B99">
        <v>4</v>
      </c>
      <c r="C99" t="s">
        <v>137</v>
      </c>
      <c r="D99">
        <v>4</v>
      </c>
      <c r="E99">
        <v>3</v>
      </c>
      <c r="F99">
        <v>0.9</v>
      </c>
      <c r="G99">
        <v>0.9</v>
      </c>
      <c r="H99">
        <v>5.0000000000000001E-3</v>
      </c>
      <c r="I99">
        <v>120</v>
      </c>
      <c r="J99">
        <v>96</v>
      </c>
      <c r="K99">
        <v>5.1553690000000003</v>
      </c>
      <c r="L99">
        <v>11.796766</v>
      </c>
      <c r="M99">
        <v>169.07</v>
      </c>
      <c r="N99" t="s">
        <v>137</v>
      </c>
      <c r="O99" t="s">
        <v>137</v>
      </c>
      <c r="P99">
        <v>7.0349999999999996E-3</v>
      </c>
      <c r="Q99">
        <v>2.664644</v>
      </c>
      <c r="R99">
        <v>2.671678</v>
      </c>
      <c r="S99" t="s">
        <v>137</v>
      </c>
      <c r="T99">
        <v>2.4836909999999999</v>
      </c>
      <c r="U99">
        <v>7.4465000000000003E-2</v>
      </c>
      <c r="V99">
        <v>1.6590000000000001E-3</v>
      </c>
      <c r="W99">
        <v>2.1909999999999998E-3</v>
      </c>
      <c r="X99" t="s">
        <v>137</v>
      </c>
      <c r="Y99">
        <v>51.82</v>
      </c>
      <c r="Z99" t="s">
        <v>137</v>
      </c>
      <c r="AA99">
        <v>48.18</v>
      </c>
      <c r="AB99">
        <v>1.44</v>
      </c>
      <c r="AC99">
        <v>0.03</v>
      </c>
      <c r="AD99">
        <v>0.04</v>
      </c>
      <c r="AE99" t="s">
        <v>137</v>
      </c>
    </row>
    <row r="100" spans="1:31" x14ac:dyDescent="0.3">
      <c r="A100" t="s">
        <v>104</v>
      </c>
      <c r="B100">
        <v>4</v>
      </c>
      <c r="C100" t="s">
        <v>137</v>
      </c>
      <c r="D100">
        <v>4</v>
      </c>
      <c r="E100">
        <v>3</v>
      </c>
      <c r="F100">
        <v>0.9</v>
      </c>
      <c r="G100">
        <v>0.9</v>
      </c>
      <c r="H100">
        <v>5.0000000000000001E-3</v>
      </c>
      <c r="I100">
        <v>120</v>
      </c>
      <c r="J100">
        <v>96</v>
      </c>
      <c r="K100">
        <v>8.1621699999999997</v>
      </c>
      <c r="L100">
        <v>16.409638000000001</v>
      </c>
      <c r="M100">
        <v>228.33</v>
      </c>
      <c r="N100" t="s">
        <v>137</v>
      </c>
      <c r="O100" t="s">
        <v>137</v>
      </c>
      <c r="P100">
        <v>6.4260000000000003E-3</v>
      </c>
      <c r="Q100">
        <v>3.8154279999999998</v>
      </c>
      <c r="R100">
        <v>3.8218540000000001</v>
      </c>
      <c r="S100" t="s">
        <v>137</v>
      </c>
      <c r="T100">
        <v>4.3403169999999998</v>
      </c>
      <c r="U100">
        <v>9.8942000000000002E-2</v>
      </c>
      <c r="V100">
        <v>2.0639999999999999E-3</v>
      </c>
      <c r="W100">
        <v>3.0999999999999999E-3</v>
      </c>
      <c r="X100" t="s">
        <v>137</v>
      </c>
      <c r="Y100">
        <v>46.82</v>
      </c>
      <c r="Z100" t="s">
        <v>137</v>
      </c>
      <c r="AA100">
        <v>53.18</v>
      </c>
      <c r="AB100">
        <v>1.21</v>
      </c>
      <c r="AC100">
        <v>0.03</v>
      </c>
      <c r="AD100">
        <v>0.04</v>
      </c>
      <c r="AE100" t="s">
        <v>137</v>
      </c>
    </row>
    <row r="101" spans="1:31" x14ac:dyDescent="0.3">
      <c r="A101" t="s">
        <v>105</v>
      </c>
      <c r="B101">
        <v>4</v>
      </c>
      <c r="C101" t="s">
        <v>137</v>
      </c>
      <c r="D101">
        <v>4</v>
      </c>
      <c r="E101">
        <v>3</v>
      </c>
      <c r="F101">
        <v>0.9</v>
      </c>
      <c r="G101">
        <v>0.9</v>
      </c>
      <c r="H101">
        <v>5.0000000000000001E-3</v>
      </c>
      <c r="I101">
        <v>120</v>
      </c>
      <c r="J101">
        <v>100</v>
      </c>
      <c r="K101">
        <v>2.0127950000000001</v>
      </c>
      <c r="L101">
        <v>3.3151890000000002</v>
      </c>
      <c r="M101">
        <v>78.2</v>
      </c>
      <c r="N101" t="s">
        <v>137</v>
      </c>
      <c r="O101" t="s">
        <v>137</v>
      </c>
      <c r="P101">
        <v>7.0429999999999998E-3</v>
      </c>
      <c r="Q101">
        <v>1.3723320000000001</v>
      </c>
      <c r="R101">
        <v>1.3793740000000001</v>
      </c>
      <c r="S101" t="s">
        <v>137</v>
      </c>
      <c r="T101">
        <v>0.63341999999999998</v>
      </c>
      <c r="U101">
        <v>2.9374999999999998E-2</v>
      </c>
      <c r="V101">
        <v>1.549E-3</v>
      </c>
      <c r="W101">
        <v>9.1200000000000005E-4</v>
      </c>
      <c r="X101" t="s">
        <v>137</v>
      </c>
      <c r="Y101">
        <v>68.53</v>
      </c>
      <c r="Z101" t="s">
        <v>137</v>
      </c>
      <c r="AA101">
        <v>31.47</v>
      </c>
      <c r="AB101">
        <v>1.46</v>
      </c>
      <c r="AC101">
        <v>0.08</v>
      </c>
      <c r="AD101">
        <v>0.05</v>
      </c>
      <c r="AE101" t="s">
        <v>137</v>
      </c>
    </row>
  </sheetData>
  <sortState xmlns:xlrd2="http://schemas.microsoft.com/office/spreadsheetml/2017/richdata2" ref="A2:AE101">
    <sortCondition ref="A1:A10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0A1C-BCD0-4C0E-91B3-826EECA354E0}">
  <dimension ref="A1:AE101"/>
  <sheetViews>
    <sheetView workbookViewId="0">
      <selection activeCell="A54" sqref="A1:A1048576"/>
    </sheetView>
  </sheetViews>
  <sheetFormatPr defaultRowHeight="14.4" x14ac:dyDescent="0.3"/>
  <cols>
    <col min="1" max="1" width="15.6640625" customWidth="1"/>
    <col min="2" max="2" width="10.6640625" customWidth="1"/>
    <col min="9" max="9" width="12.77734375" customWidth="1"/>
    <col min="10" max="10" width="17.6640625" customWidth="1"/>
  </cols>
  <sheetData>
    <row r="1" spans="1:31" x14ac:dyDescent="0.3">
      <c r="A1" t="s">
        <v>106</v>
      </c>
      <c r="B1" t="s">
        <v>168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  <c r="H1" t="s">
        <v>174</v>
      </c>
      <c r="I1" t="s">
        <v>175</v>
      </c>
      <c r="J1" t="s">
        <v>176</v>
      </c>
      <c r="K1" t="s">
        <v>177</v>
      </c>
      <c r="L1" t="s">
        <v>178</v>
      </c>
      <c r="M1" t="s">
        <v>179</v>
      </c>
      <c r="N1" t="s">
        <v>180</v>
      </c>
      <c r="O1" t="s">
        <v>181</v>
      </c>
      <c r="P1" t="s">
        <v>182</v>
      </c>
      <c r="Q1" t="s">
        <v>183</v>
      </c>
      <c r="R1" t="s">
        <v>184</v>
      </c>
      <c r="S1" t="s">
        <v>185</v>
      </c>
      <c r="T1" t="s">
        <v>186</v>
      </c>
      <c r="U1" t="s">
        <v>187</v>
      </c>
      <c r="V1" t="s">
        <v>188</v>
      </c>
      <c r="W1" t="s">
        <v>189</v>
      </c>
      <c r="X1" t="s">
        <v>190</v>
      </c>
      <c r="Y1" t="s">
        <v>191</v>
      </c>
      <c r="Z1" t="s">
        <v>192</v>
      </c>
      <c r="AA1" t="s">
        <v>193</v>
      </c>
      <c r="AB1" t="s">
        <v>194</v>
      </c>
      <c r="AC1" t="s">
        <v>195</v>
      </c>
      <c r="AD1" t="s">
        <v>196</v>
      </c>
      <c r="AE1" t="s">
        <v>197</v>
      </c>
    </row>
    <row r="2" spans="1:31" x14ac:dyDescent="0.3">
      <c r="A2" t="s">
        <v>6</v>
      </c>
      <c r="B2">
        <v>4</v>
      </c>
      <c r="C2">
        <v>3</v>
      </c>
      <c r="D2">
        <v>4</v>
      </c>
      <c r="E2">
        <v>3</v>
      </c>
      <c r="F2">
        <v>0.9</v>
      </c>
      <c r="G2">
        <v>0.9</v>
      </c>
      <c r="H2">
        <v>5.0000000000000001E-3</v>
      </c>
      <c r="I2">
        <v>120</v>
      </c>
      <c r="J2">
        <v>100</v>
      </c>
      <c r="K2">
        <v>1.859839</v>
      </c>
      <c r="L2">
        <v>0.97038599999999997</v>
      </c>
      <c r="M2">
        <v>35.520000000000003</v>
      </c>
      <c r="N2">
        <v>0</v>
      </c>
      <c r="O2">
        <v>100</v>
      </c>
      <c r="P2">
        <v>3.9370000000000004E-3</v>
      </c>
      <c r="Q2">
        <v>1.434518</v>
      </c>
      <c r="R2">
        <v>1.438456</v>
      </c>
      <c r="S2" t="s">
        <v>137</v>
      </c>
      <c r="T2">
        <v>0.42138399999999998</v>
      </c>
      <c r="U2">
        <v>1.048E-2</v>
      </c>
      <c r="V2">
        <v>1.0950000000000001E-3</v>
      </c>
      <c r="W2">
        <v>3.5500000000000001E-4</v>
      </c>
      <c r="X2">
        <v>0</v>
      </c>
      <c r="Y2">
        <v>77.34</v>
      </c>
      <c r="Z2" t="s">
        <v>137</v>
      </c>
      <c r="AA2">
        <v>22.66</v>
      </c>
      <c r="AB2">
        <v>0.56000000000000005</v>
      </c>
      <c r="AC2">
        <v>0.06</v>
      </c>
      <c r="AD2">
        <v>0.02</v>
      </c>
      <c r="AE2">
        <v>0</v>
      </c>
    </row>
    <row r="3" spans="1:31" x14ac:dyDescent="0.3">
      <c r="A3" t="s">
        <v>7</v>
      </c>
      <c r="B3">
        <v>4</v>
      </c>
      <c r="C3">
        <v>3</v>
      </c>
      <c r="D3">
        <v>4</v>
      </c>
      <c r="E3">
        <v>3</v>
      </c>
      <c r="F3">
        <v>0.9</v>
      </c>
      <c r="G3">
        <v>0.9</v>
      </c>
      <c r="H3">
        <v>5.0000000000000001E-3</v>
      </c>
      <c r="I3">
        <v>120</v>
      </c>
      <c r="J3">
        <v>100</v>
      </c>
      <c r="K3">
        <v>3.1774420000000001</v>
      </c>
      <c r="L3">
        <v>1.569677</v>
      </c>
      <c r="M3">
        <v>59.69</v>
      </c>
      <c r="N3">
        <v>7</v>
      </c>
      <c r="O3">
        <v>93</v>
      </c>
      <c r="P3">
        <v>3.898E-3</v>
      </c>
      <c r="Q3">
        <v>2.3707859999999998</v>
      </c>
      <c r="R3">
        <v>2.3746839999999998</v>
      </c>
      <c r="S3" t="s">
        <v>137</v>
      </c>
      <c r="T3">
        <v>0.80093800000000004</v>
      </c>
      <c r="U3">
        <v>1.8086000000000001E-2</v>
      </c>
      <c r="V3">
        <v>1.181E-3</v>
      </c>
      <c r="W3">
        <v>6.2200000000000005E-4</v>
      </c>
      <c r="X3">
        <v>1.8209999999999999E-3</v>
      </c>
      <c r="Y3">
        <v>74.739999999999995</v>
      </c>
      <c r="Z3" t="s">
        <v>137</v>
      </c>
      <c r="AA3">
        <v>25.21</v>
      </c>
      <c r="AB3">
        <v>0.56999999999999995</v>
      </c>
      <c r="AC3">
        <v>0.04</v>
      </c>
      <c r="AD3">
        <v>0.02</v>
      </c>
      <c r="AE3">
        <v>0.06</v>
      </c>
    </row>
    <row r="4" spans="1:31" x14ac:dyDescent="0.3">
      <c r="A4" t="s">
        <v>8</v>
      </c>
      <c r="B4">
        <v>4</v>
      </c>
      <c r="C4">
        <v>3</v>
      </c>
      <c r="D4">
        <v>4</v>
      </c>
      <c r="E4">
        <v>3</v>
      </c>
      <c r="F4">
        <v>0.9</v>
      </c>
      <c r="G4">
        <v>0.9</v>
      </c>
      <c r="H4">
        <v>5.0000000000000001E-3</v>
      </c>
      <c r="I4">
        <v>120</v>
      </c>
      <c r="J4">
        <v>100</v>
      </c>
      <c r="K4">
        <v>4.2433209999999999</v>
      </c>
      <c r="L4">
        <v>2.8022689999999999</v>
      </c>
      <c r="M4">
        <v>80.400000000000006</v>
      </c>
      <c r="N4">
        <v>25</v>
      </c>
      <c r="O4">
        <v>75</v>
      </c>
      <c r="P4">
        <v>4.0039999999999997E-3</v>
      </c>
      <c r="Q4">
        <v>3.0531450000000002</v>
      </c>
      <c r="R4">
        <v>3.0571489999999999</v>
      </c>
      <c r="S4" t="s">
        <v>137</v>
      </c>
      <c r="T4">
        <v>1.1817869999999999</v>
      </c>
      <c r="U4">
        <v>2.4642000000000001E-2</v>
      </c>
      <c r="V4">
        <v>1.2019999999999999E-3</v>
      </c>
      <c r="W4">
        <v>8.34E-4</v>
      </c>
      <c r="X4">
        <v>4.385E-3</v>
      </c>
      <c r="Y4">
        <v>72.05</v>
      </c>
      <c r="Z4" t="s">
        <v>137</v>
      </c>
      <c r="AA4">
        <v>27.85</v>
      </c>
      <c r="AB4">
        <v>0.57999999999999996</v>
      </c>
      <c r="AC4">
        <v>0.03</v>
      </c>
      <c r="AD4">
        <v>0.02</v>
      </c>
      <c r="AE4">
        <v>0.1</v>
      </c>
    </row>
    <row r="5" spans="1:31" x14ac:dyDescent="0.3">
      <c r="A5" t="s">
        <v>9</v>
      </c>
      <c r="B5">
        <v>4</v>
      </c>
      <c r="C5">
        <v>3</v>
      </c>
      <c r="D5">
        <v>4</v>
      </c>
      <c r="E5">
        <v>3</v>
      </c>
      <c r="F5">
        <v>0.9</v>
      </c>
      <c r="G5">
        <v>0.9</v>
      </c>
      <c r="H5">
        <v>5.0000000000000001E-3</v>
      </c>
      <c r="I5">
        <v>120</v>
      </c>
      <c r="J5">
        <v>100</v>
      </c>
      <c r="K5">
        <v>3.071682</v>
      </c>
      <c r="L5">
        <v>1.9930380000000001</v>
      </c>
      <c r="M5">
        <v>57.1</v>
      </c>
      <c r="N5">
        <v>14</v>
      </c>
      <c r="O5">
        <v>86</v>
      </c>
      <c r="P5">
        <v>3.9709999999999997E-3</v>
      </c>
      <c r="Q5">
        <v>2.2746729999999999</v>
      </c>
      <c r="R5">
        <v>2.278645</v>
      </c>
      <c r="S5" t="s">
        <v>137</v>
      </c>
      <c r="T5">
        <v>0.790107</v>
      </c>
      <c r="U5">
        <v>1.7263000000000001E-2</v>
      </c>
      <c r="V5">
        <v>1.1980000000000001E-3</v>
      </c>
      <c r="W5">
        <v>5.6700000000000001E-4</v>
      </c>
      <c r="X5">
        <v>2.9299999999999999E-3</v>
      </c>
      <c r="Y5">
        <v>74.180000000000007</v>
      </c>
      <c r="Z5" t="s">
        <v>137</v>
      </c>
      <c r="AA5">
        <v>25.72</v>
      </c>
      <c r="AB5">
        <v>0.56000000000000005</v>
      </c>
      <c r="AC5">
        <v>0.04</v>
      </c>
      <c r="AD5">
        <v>0.02</v>
      </c>
      <c r="AE5">
        <v>0.1</v>
      </c>
    </row>
    <row r="6" spans="1:31" x14ac:dyDescent="0.3">
      <c r="A6" t="s">
        <v>10</v>
      </c>
      <c r="B6">
        <v>4</v>
      </c>
      <c r="C6">
        <v>3</v>
      </c>
      <c r="D6">
        <v>4</v>
      </c>
      <c r="E6">
        <v>3</v>
      </c>
      <c r="F6">
        <v>0.9</v>
      </c>
      <c r="G6">
        <v>0.9</v>
      </c>
      <c r="H6">
        <v>5.0000000000000001E-3</v>
      </c>
      <c r="I6">
        <v>120</v>
      </c>
      <c r="J6">
        <v>100</v>
      </c>
      <c r="K6">
        <v>4.7039439999999999</v>
      </c>
      <c r="L6">
        <v>2.7900930000000002</v>
      </c>
      <c r="M6">
        <v>90.86</v>
      </c>
      <c r="N6">
        <v>33</v>
      </c>
      <c r="O6">
        <v>67</v>
      </c>
      <c r="P6">
        <v>3.9680000000000002E-3</v>
      </c>
      <c r="Q6">
        <v>3.3667539999999998</v>
      </c>
      <c r="R6">
        <v>3.3707220000000002</v>
      </c>
      <c r="S6" t="s">
        <v>137</v>
      </c>
      <c r="T6">
        <v>1.329836</v>
      </c>
      <c r="U6">
        <v>2.809E-2</v>
      </c>
      <c r="V6">
        <v>1.2639999999999999E-3</v>
      </c>
      <c r="W6">
        <v>9.2100000000000005E-4</v>
      </c>
      <c r="X6">
        <v>3.3860000000000001E-3</v>
      </c>
      <c r="Y6">
        <v>71.66</v>
      </c>
      <c r="Z6" t="s">
        <v>137</v>
      </c>
      <c r="AA6">
        <v>28.27</v>
      </c>
      <c r="AB6">
        <v>0.6</v>
      </c>
      <c r="AC6">
        <v>0.03</v>
      </c>
      <c r="AD6">
        <v>0.02</v>
      </c>
      <c r="AE6">
        <v>7.0000000000000007E-2</v>
      </c>
    </row>
    <row r="7" spans="1:31" x14ac:dyDescent="0.3">
      <c r="A7" t="s">
        <v>11</v>
      </c>
      <c r="B7">
        <v>4</v>
      </c>
      <c r="C7">
        <v>3</v>
      </c>
      <c r="D7">
        <v>4</v>
      </c>
      <c r="E7">
        <v>3</v>
      </c>
      <c r="F7">
        <v>0.9</v>
      </c>
      <c r="G7">
        <v>0.9</v>
      </c>
      <c r="H7">
        <v>5.0000000000000001E-3</v>
      </c>
      <c r="I7">
        <v>120</v>
      </c>
      <c r="J7">
        <v>100</v>
      </c>
      <c r="K7">
        <v>3.5129899999999998</v>
      </c>
      <c r="L7">
        <v>1.7781499999999999</v>
      </c>
      <c r="M7">
        <v>66.58</v>
      </c>
      <c r="N7">
        <v>19</v>
      </c>
      <c r="O7">
        <v>81</v>
      </c>
      <c r="P7">
        <v>3.9459999999999999E-3</v>
      </c>
      <c r="Q7">
        <v>2.595507</v>
      </c>
      <c r="R7">
        <v>2.599453</v>
      </c>
      <c r="S7" t="s">
        <v>137</v>
      </c>
      <c r="T7">
        <v>0.90967799999999999</v>
      </c>
      <c r="U7">
        <v>2.0258000000000002E-2</v>
      </c>
      <c r="V7">
        <v>1.232E-3</v>
      </c>
      <c r="W7">
        <v>6.8900000000000005E-4</v>
      </c>
      <c r="X7">
        <v>3.859E-3</v>
      </c>
      <c r="Y7">
        <v>74</v>
      </c>
      <c r="Z7" t="s">
        <v>137</v>
      </c>
      <c r="AA7">
        <v>25.89</v>
      </c>
      <c r="AB7">
        <v>0.57999999999999996</v>
      </c>
      <c r="AC7">
        <v>0.04</v>
      </c>
      <c r="AD7">
        <v>0.02</v>
      </c>
      <c r="AE7">
        <v>0.11</v>
      </c>
    </row>
    <row r="8" spans="1:31" x14ac:dyDescent="0.3">
      <c r="A8" t="s">
        <v>12</v>
      </c>
      <c r="B8">
        <v>4</v>
      </c>
      <c r="C8">
        <v>3</v>
      </c>
      <c r="D8">
        <v>4</v>
      </c>
      <c r="E8">
        <v>3</v>
      </c>
      <c r="F8">
        <v>0.9</v>
      </c>
      <c r="G8">
        <v>0.9</v>
      </c>
      <c r="H8">
        <v>5.0000000000000001E-3</v>
      </c>
      <c r="I8">
        <v>120</v>
      </c>
      <c r="J8">
        <v>100</v>
      </c>
      <c r="K8">
        <v>2.3970180000000001</v>
      </c>
      <c r="L8">
        <v>1.4004289999999999</v>
      </c>
      <c r="M8">
        <v>45.73</v>
      </c>
      <c r="N8">
        <v>4</v>
      </c>
      <c r="O8">
        <v>96</v>
      </c>
      <c r="P8">
        <v>3.9129999999999998E-3</v>
      </c>
      <c r="Q8">
        <v>1.815696</v>
      </c>
      <c r="R8">
        <v>1.819609</v>
      </c>
      <c r="S8" t="s">
        <v>137</v>
      </c>
      <c r="T8">
        <v>0.57682999999999995</v>
      </c>
      <c r="U8">
        <v>1.3642E-2</v>
      </c>
      <c r="V8">
        <v>1.1709999999999999E-3</v>
      </c>
      <c r="W8">
        <v>4.5899999999999999E-4</v>
      </c>
      <c r="X8">
        <v>5.7899999999999998E-4</v>
      </c>
      <c r="Y8">
        <v>75.91</v>
      </c>
      <c r="Z8" t="s">
        <v>137</v>
      </c>
      <c r="AA8">
        <v>24.06</v>
      </c>
      <c r="AB8">
        <v>0.56999999999999995</v>
      </c>
      <c r="AC8">
        <v>0.05</v>
      </c>
      <c r="AD8">
        <v>0.02</v>
      </c>
      <c r="AE8">
        <v>0.02</v>
      </c>
    </row>
    <row r="9" spans="1:31" x14ac:dyDescent="0.3">
      <c r="A9" t="s">
        <v>13</v>
      </c>
      <c r="B9">
        <v>4</v>
      </c>
      <c r="C9">
        <v>3</v>
      </c>
      <c r="D9">
        <v>4</v>
      </c>
      <c r="E9">
        <v>3</v>
      </c>
      <c r="F9">
        <v>0.9</v>
      </c>
      <c r="G9">
        <v>0.9</v>
      </c>
      <c r="H9">
        <v>5.0000000000000001E-3</v>
      </c>
      <c r="I9">
        <v>120</v>
      </c>
      <c r="J9">
        <v>100</v>
      </c>
      <c r="K9">
        <v>2.3723420000000002</v>
      </c>
      <c r="L9">
        <v>1.6103320000000001</v>
      </c>
      <c r="M9">
        <v>46.93</v>
      </c>
      <c r="N9">
        <v>5</v>
      </c>
      <c r="O9">
        <v>95</v>
      </c>
      <c r="P9">
        <v>4.052E-3</v>
      </c>
      <c r="Q9">
        <v>1.7888470000000001</v>
      </c>
      <c r="R9">
        <v>1.792899</v>
      </c>
      <c r="S9" t="s">
        <v>137</v>
      </c>
      <c r="T9">
        <v>0.578766</v>
      </c>
      <c r="U9">
        <v>1.4043E-2</v>
      </c>
      <c r="V9">
        <v>1.157E-3</v>
      </c>
      <c r="W9">
        <v>4.7699999999999999E-4</v>
      </c>
      <c r="X9">
        <v>6.7699999999999998E-4</v>
      </c>
      <c r="Y9">
        <v>75.58</v>
      </c>
      <c r="Z9" t="s">
        <v>137</v>
      </c>
      <c r="AA9">
        <v>24.4</v>
      </c>
      <c r="AB9">
        <v>0.59</v>
      </c>
      <c r="AC9">
        <v>0.05</v>
      </c>
      <c r="AD9">
        <v>0.02</v>
      </c>
      <c r="AE9">
        <v>0.03</v>
      </c>
    </row>
    <row r="10" spans="1:31" x14ac:dyDescent="0.3">
      <c r="A10" t="s">
        <v>14</v>
      </c>
      <c r="B10">
        <v>4</v>
      </c>
      <c r="C10">
        <v>3</v>
      </c>
      <c r="D10">
        <v>4</v>
      </c>
      <c r="E10">
        <v>3</v>
      </c>
      <c r="F10">
        <v>0.9</v>
      </c>
      <c r="G10">
        <v>0.9</v>
      </c>
      <c r="H10">
        <v>5.0000000000000001E-3</v>
      </c>
      <c r="I10">
        <v>120</v>
      </c>
      <c r="J10">
        <v>100</v>
      </c>
      <c r="K10">
        <v>3.5785999999999998</v>
      </c>
      <c r="L10">
        <v>2.1400980000000001</v>
      </c>
      <c r="M10">
        <v>71</v>
      </c>
      <c r="N10">
        <v>19</v>
      </c>
      <c r="O10">
        <v>81</v>
      </c>
      <c r="P10">
        <v>3.9199999999999999E-3</v>
      </c>
      <c r="Q10">
        <v>2.6342300000000001</v>
      </c>
      <c r="R10">
        <v>2.63815</v>
      </c>
      <c r="S10" t="s">
        <v>137</v>
      </c>
      <c r="T10">
        <v>0.93598400000000004</v>
      </c>
      <c r="U10">
        <v>2.1305000000000001E-2</v>
      </c>
      <c r="V10">
        <v>1.1479999999999999E-3</v>
      </c>
      <c r="W10">
        <v>7.5000000000000002E-4</v>
      </c>
      <c r="X10">
        <v>4.4650000000000002E-3</v>
      </c>
      <c r="Y10">
        <v>73.72</v>
      </c>
      <c r="Z10" t="s">
        <v>137</v>
      </c>
      <c r="AA10">
        <v>26.16</v>
      </c>
      <c r="AB10">
        <v>0.6</v>
      </c>
      <c r="AC10">
        <v>0.03</v>
      </c>
      <c r="AD10">
        <v>0.02</v>
      </c>
      <c r="AE10">
        <v>0.12</v>
      </c>
    </row>
    <row r="11" spans="1:31" x14ac:dyDescent="0.3">
      <c r="A11" t="s">
        <v>15</v>
      </c>
      <c r="B11">
        <v>4</v>
      </c>
      <c r="C11">
        <v>3</v>
      </c>
      <c r="D11">
        <v>4</v>
      </c>
      <c r="E11">
        <v>3</v>
      </c>
      <c r="F11">
        <v>0.9</v>
      </c>
      <c r="G11">
        <v>0.9</v>
      </c>
      <c r="H11">
        <v>5.0000000000000001E-3</v>
      </c>
      <c r="I11">
        <v>120</v>
      </c>
      <c r="J11">
        <v>100</v>
      </c>
      <c r="K11">
        <v>2.2999700000000001</v>
      </c>
      <c r="L11">
        <v>1.1167069999999999</v>
      </c>
      <c r="M11">
        <v>45.09</v>
      </c>
      <c r="N11">
        <v>1</v>
      </c>
      <c r="O11">
        <v>99</v>
      </c>
      <c r="P11">
        <v>4.0150000000000003E-3</v>
      </c>
      <c r="Q11">
        <v>1.7596579999999999</v>
      </c>
      <c r="R11">
        <v>1.763673</v>
      </c>
      <c r="S11" t="s">
        <v>137</v>
      </c>
      <c r="T11">
        <v>0.53569299999999997</v>
      </c>
      <c r="U11">
        <v>1.3367E-2</v>
      </c>
      <c r="V11">
        <v>1.2639999999999999E-3</v>
      </c>
      <c r="W11">
        <v>4.5300000000000001E-4</v>
      </c>
      <c r="X11">
        <v>6.0300000000000002E-4</v>
      </c>
      <c r="Y11">
        <v>76.680000000000007</v>
      </c>
      <c r="Z11" t="s">
        <v>137</v>
      </c>
      <c r="AA11">
        <v>23.29</v>
      </c>
      <c r="AB11">
        <v>0.57999999999999996</v>
      </c>
      <c r="AC11">
        <v>0.05</v>
      </c>
      <c r="AD11">
        <v>0.02</v>
      </c>
      <c r="AE11">
        <v>0.03</v>
      </c>
    </row>
    <row r="12" spans="1:31" x14ac:dyDescent="0.3">
      <c r="A12" t="s">
        <v>16</v>
      </c>
      <c r="B12">
        <v>4</v>
      </c>
      <c r="C12">
        <v>3</v>
      </c>
      <c r="D12">
        <v>4</v>
      </c>
      <c r="E12">
        <v>3</v>
      </c>
      <c r="F12">
        <v>0.9</v>
      </c>
      <c r="G12">
        <v>0.9</v>
      </c>
      <c r="H12">
        <v>5.0000000000000001E-3</v>
      </c>
      <c r="I12">
        <v>120</v>
      </c>
      <c r="J12">
        <v>98</v>
      </c>
      <c r="K12">
        <v>14.414916</v>
      </c>
      <c r="L12">
        <v>19.43234</v>
      </c>
      <c r="M12">
        <v>385.11</v>
      </c>
      <c r="N12">
        <v>76</v>
      </c>
      <c r="O12">
        <v>22</v>
      </c>
      <c r="P12">
        <v>4.4520000000000002E-3</v>
      </c>
      <c r="Q12">
        <v>6.3456159999999997</v>
      </c>
      <c r="R12">
        <v>6.3500680000000003</v>
      </c>
      <c r="S12" t="s">
        <v>137</v>
      </c>
      <c r="T12">
        <v>7.9274870000000002</v>
      </c>
      <c r="U12">
        <v>0.121628</v>
      </c>
      <c r="V12">
        <v>1.585E-3</v>
      </c>
      <c r="W12">
        <v>3.7100000000000002E-3</v>
      </c>
      <c r="X12">
        <v>0.13736100000000001</v>
      </c>
      <c r="Y12">
        <v>44.05</v>
      </c>
      <c r="Z12" t="s">
        <v>137</v>
      </c>
      <c r="AA12">
        <v>55</v>
      </c>
      <c r="AB12">
        <v>0.84</v>
      </c>
      <c r="AC12">
        <v>0.01</v>
      </c>
      <c r="AD12">
        <v>0.03</v>
      </c>
      <c r="AE12">
        <v>0.95</v>
      </c>
    </row>
    <row r="13" spans="1:31" x14ac:dyDescent="0.3">
      <c r="A13" t="s">
        <v>17</v>
      </c>
      <c r="B13">
        <v>4</v>
      </c>
      <c r="C13">
        <v>3</v>
      </c>
      <c r="D13">
        <v>4</v>
      </c>
      <c r="E13">
        <v>3</v>
      </c>
      <c r="F13">
        <v>0.9</v>
      </c>
      <c r="G13">
        <v>0.9</v>
      </c>
      <c r="H13">
        <v>5.0000000000000001E-3</v>
      </c>
      <c r="I13">
        <v>120</v>
      </c>
      <c r="J13">
        <v>100</v>
      </c>
      <c r="K13">
        <v>2.2300420000000001</v>
      </c>
      <c r="L13">
        <v>1.352255</v>
      </c>
      <c r="M13">
        <v>62.59</v>
      </c>
      <c r="N13">
        <v>12</v>
      </c>
      <c r="O13">
        <v>88</v>
      </c>
      <c r="P13">
        <v>4.4250000000000001E-3</v>
      </c>
      <c r="Q13">
        <v>1.6707620000000001</v>
      </c>
      <c r="R13">
        <v>1.6751879999999999</v>
      </c>
      <c r="S13" t="s">
        <v>137</v>
      </c>
      <c r="T13">
        <v>0.54826299999999994</v>
      </c>
      <c r="U13">
        <v>1.8967000000000001E-2</v>
      </c>
      <c r="V13">
        <v>1.335E-3</v>
      </c>
      <c r="W13">
        <v>5.7700000000000004E-4</v>
      </c>
      <c r="X13">
        <v>6.5909999999999996E-3</v>
      </c>
      <c r="Y13">
        <v>75.12</v>
      </c>
      <c r="Z13" t="s">
        <v>137</v>
      </c>
      <c r="AA13">
        <v>24.59</v>
      </c>
      <c r="AB13">
        <v>0.85</v>
      </c>
      <c r="AC13">
        <v>0.06</v>
      </c>
      <c r="AD13">
        <v>0.03</v>
      </c>
      <c r="AE13">
        <v>0.3</v>
      </c>
    </row>
    <row r="14" spans="1:31" x14ac:dyDescent="0.3">
      <c r="A14" t="s">
        <v>18</v>
      </c>
      <c r="B14">
        <v>4</v>
      </c>
      <c r="C14">
        <v>3</v>
      </c>
      <c r="D14">
        <v>4</v>
      </c>
      <c r="E14">
        <v>3</v>
      </c>
      <c r="F14">
        <v>0.9</v>
      </c>
      <c r="G14">
        <v>0.9</v>
      </c>
      <c r="H14">
        <v>5.0000000000000001E-3</v>
      </c>
      <c r="I14">
        <v>120</v>
      </c>
      <c r="J14">
        <v>100</v>
      </c>
      <c r="K14">
        <v>0.92515000000000003</v>
      </c>
      <c r="L14">
        <v>0.54800199999999999</v>
      </c>
      <c r="M14">
        <v>25.13</v>
      </c>
      <c r="N14">
        <v>0</v>
      </c>
      <c r="O14">
        <v>100</v>
      </c>
      <c r="P14">
        <v>4.4180000000000001E-3</v>
      </c>
      <c r="Q14">
        <v>0.69260200000000005</v>
      </c>
      <c r="R14">
        <v>0.69701900000000006</v>
      </c>
      <c r="S14" t="s">
        <v>137</v>
      </c>
      <c r="T14">
        <v>0.228131</v>
      </c>
      <c r="U14">
        <v>7.1069999999999996E-3</v>
      </c>
      <c r="V14">
        <v>1.1839999999999999E-3</v>
      </c>
      <c r="W14">
        <v>2.3000000000000001E-4</v>
      </c>
      <c r="X14">
        <v>0</v>
      </c>
      <c r="Y14">
        <v>75.34</v>
      </c>
      <c r="Z14" t="s">
        <v>137</v>
      </c>
      <c r="AA14">
        <v>24.66</v>
      </c>
      <c r="AB14">
        <v>0.77</v>
      </c>
      <c r="AC14">
        <v>0.13</v>
      </c>
      <c r="AD14">
        <v>0.02</v>
      </c>
      <c r="AE14">
        <v>0</v>
      </c>
    </row>
    <row r="15" spans="1:31" x14ac:dyDescent="0.3">
      <c r="A15" t="s">
        <v>19</v>
      </c>
      <c r="B15">
        <v>4</v>
      </c>
      <c r="C15">
        <v>3</v>
      </c>
      <c r="D15">
        <v>4</v>
      </c>
      <c r="E15">
        <v>3</v>
      </c>
      <c r="F15">
        <v>0.9</v>
      </c>
      <c r="G15">
        <v>0.9</v>
      </c>
      <c r="H15">
        <v>5.0000000000000001E-3</v>
      </c>
      <c r="I15">
        <v>120</v>
      </c>
      <c r="J15">
        <v>100</v>
      </c>
      <c r="K15">
        <v>4.589944</v>
      </c>
      <c r="L15">
        <v>3.3019180000000001</v>
      </c>
      <c r="M15">
        <v>123.66</v>
      </c>
      <c r="N15">
        <v>49</v>
      </c>
      <c r="O15">
        <v>51</v>
      </c>
      <c r="P15">
        <v>4.5269999999999998E-3</v>
      </c>
      <c r="Q15">
        <v>3.2004809999999999</v>
      </c>
      <c r="R15">
        <v>3.2050070000000002</v>
      </c>
      <c r="S15" t="s">
        <v>137</v>
      </c>
      <c r="T15">
        <v>1.369267</v>
      </c>
      <c r="U15">
        <v>3.8503000000000003E-2</v>
      </c>
      <c r="V15">
        <v>1.328E-3</v>
      </c>
      <c r="W15">
        <v>1.1770000000000001E-3</v>
      </c>
      <c r="X15">
        <v>1.567E-2</v>
      </c>
      <c r="Y15">
        <v>69.83</v>
      </c>
      <c r="Z15" t="s">
        <v>137</v>
      </c>
      <c r="AA15">
        <v>29.83</v>
      </c>
      <c r="AB15">
        <v>0.84</v>
      </c>
      <c r="AC15">
        <v>0.03</v>
      </c>
      <c r="AD15">
        <v>0.03</v>
      </c>
      <c r="AE15">
        <v>0.34</v>
      </c>
    </row>
    <row r="16" spans="1:31" x14ac:dyDescent="0.3">
      <c r="A16" t="s">
        <v>20</v>
      </c>
      <c r="B16">
        <v>4</v>
      </c>
      <c r="C16">
        <v>3</v>
      </c>
      <c r="D16">
        <v>4</v>
      </c>
      <c r="E16">
        <v>3</v>
      </c>
      <c r="F16">
        <v>0.9</v>
      </c>
      <c r="G16">
        <v>0.9</v>
      </c>
      <c r="H16">
        <v>5.0000000000000001E-3</v>
      </c>
      <c r="I16">
        <v>120</v>
      </c>
      <c r="J16">
        <v>100</v>
      </c>
      <c r="K16">
        <v>2.1419540000000001</v>
      </c>
      <c r="L16">
        <v>1.5478529999999999</v>
      </c>
      <c r="M16">
        <v>56.96</v>
      </c>
      <c r="N16">
        <v>11</v>
      </c>
      <c r="O16">
        <v>89</v>
      </c>
      <c r="P16">
        <v>4.4530000000000004E-3</v>
      </c>
      <c r="Q16">
        <v>1.5968370000000001</v>
      </c>
      <c r="R16">
        <v>1.6012900000000001</v>
      </c>
      <c r="S16" t="s">
        <v>137</v>
      </c>
      <c r="T16">
        <v>0.53595199999999998</v>
      </c>
      <c r="U16">
        <v>1.7173999999999998E-2</v>
      </c>
      <c r="V16">
        <v>1.245E-3</v>
      </c>
      <c r="W16">
        <v>5.7600000000000001E-4</v>
      </c>
      <c r="X16">
        <v>4.712E-3</v>
      </c>
      <c r="Y16">
        <v>74.760000000000005</v>
      </c>
      <c r="Z16" t="s">
        <v>137</v>
      </c>
      <c r="AA16">
        <v>25.02</v>
      </c>
      <c r="AB16">
        <v>0.8</v>
      </c>
      <c r="AC16">
        <v>0.06</v>
      </c>
      <c r="AD16">
        <v>0.03</v>
      </c>
      <c r="AE16">
        <v>0.22</v>
      </c>
    </row>
    <row r="17" spans="1:31" x14ac:dyDescent="0.3">
      <c r="A17" t="s">
        <v>21</v>
      </c>
      <c r="B17">
        <v>4</v>
      </c>
      <c r="C17">
        <v>3</v>
      </c>
      <c r="D17">
        <v>4</v>
      </c>
      <c r="E17">
        <v>3</v>
      </c>
      <c r="F17">
        <v>0.9</v>
      </c>
      <c r="G17">
        <v>0.9</v>
      </c>
      <c r="H17">
        <v>5.0000000000000001E-3</v>
      </c>
      <c r="I17">
        <v>120</v>
      </c>
      <c r="J17">
        <v>100</v>
      </c>
      <c r="K17">
        <v>2.8943210000000001</v>
      </c>
      <c r="L17">
        <v>2.1256710000000001</v>
      </c>
      <c r="M17">
        <v>74.680000000000007</v>
      </c>
      <c r="N17">
        <v>17</v>
      </c>
      <c r="O17">
        <v>83</v>
      </c>
      <c r="P17">
        <v>4.4219999999999997E-3</v>
      </c>
      <c r="Q17">
        <v>2.1352869999999999</v>
      </c>
      <c r="R17">
        <v>2.1397080000000002</v>
      </c>
      <c r="S17" t="s">
        <v>137</v>
      </c>
      <c r="T17">
        <v>0.74999400000000005</v>
      </c>
      <c r="U17">
        <v>2.2946999999999999E-2</v>
      </c>
      <c r="V17">
        <v>1.188E-3</v>
      </c>
      <c r="W17">
        <v>7.4600000000000003E-4</v>
      </c>
      <c r="X17">
        <v>4.6189999999999998E-3</v>
      </c>
      <c r="Y17">
        <v>73.930000000000007</v>
      </c>
      <c r="Z17" t="s">
        <v>137</v>
      </c>
      <c r="AA17">
        <v>25.91</v>
      </c>
      <c r="AB17">
        <v>0.79</v>
      </c>
      <c r="AC17">
        <v>0.04</v>
      </c>
      <c r="AD17">
        <v>0.03</v>
      </c>
      <c r="AE17">
        <v>0.16</v>
      </c>
    </row>
    <row r="18" spans="1:31" x14ac:dyDescent="0.3">
      <c r="A18" t="s">
        <v>22</v>
      </c>
      <c r="B18">
        <v>4</v>
      </c>
      <c r="C18">
        <v>3</v>
      </c>
      <c r="D18">
        <v>4</v>
      </c>
      <c r="E18">
        <v>3</v>
      </c>
      <c r="F18">
        <v>0.9</v>
      </c>
      <c r="G18">
        <v>0.9</v>
      </c>
      <c r="H18">
        <v>5.0000000000000001E-3</v>
      </c>
      <c r="I18">
        <v>120</v>
      </c>
      <c r="J18">
        <v>100</v>
      </c>
      <c r="K18">
        <v>1.1647240000000001</v>
      </c>
      <c r="L18">
        <v>0.63938300000000003</v>
      </c>
      <c r="M18">
        <v>31.11</v>
      </c>
      <c r="N18">
        <v>0</v>
      </c>
      <c r="O18">
        <v>100</v>
      </c>
      <c r="P18">
        <v>4.4520000000000002E-3</v>
      </c>
      <c r="Q18">
        <v>0.88140600000000002</v>
      </c>
      <c r="R18">
        <v>0.88585800000000003</v>
      </c>
      <c r="S18" t="s">
        <v>137</v>
      </c>
      <c r="T18">
        <v>0.27886699999999998</v>
      </c>
      <c r="U18">
        <v>8.9409999999999993E-3</v>
      </c>
      <c r="V18">
        <v>1.24E-3</v>
      </c>
      <c r="W18">
        <v>2.8699999999999998E-4</v>
      </c>
      <c r="X18">
        <v>0</v>
      </c>
      <c r="Y18">
        <v>76.06</v>
      </c>
      <c r="Z18" t="s">
        <v>137</v>
      </c>
      <c r="AA18">
        <v>23.94</v>
      </c>
      <c r="AB18">
        <v>0.77</v>
      </c>
      <c r="AC18">
        <v>0.11</v>
      </c>
      <c r="AD18">
        <v>0.02</v>
      </c>
      <c r="AE18">
        <v>0</v>
      </c>
    </row>
    <row r="19" spans="1:31" x14ac:dyDescent="0.3">
      <c r="A19" t="s">
        <v>23</v>
      </c>
      <c r="B19">
        <v>4</v>
      </c>
      <c r="C19">
        <v>3</v>
      </c>
      <c r="D19">
        <v>4</v>
      </c>
      <c r="E19">
        <v>3</v>
      </c>
      <c r="F19">
        <v>0.9</v>
      </c>
      <c r="G19">
        <v>0.9</v>
      </c>
      <c r="H19">
        <v>5.0000000000000001E-3</v>
      </c>
      <c r="I19">
        <v>120</v>
      </c>
      <c r="J19">
        <v>100</v>
      </c>
      <c r="K19">
        <v>4.765771</v>
      </c>
      <c r="L19">
        <v>4.6925140000000001</v>
      </c>
      <c r="M19">
        <v>131.30000000000001</v>
      </c>
      <c r="N19">
        <v>51</v>
      </c>
      <c r="O19">
        <v>49</v>
      </c>
      <c r="P19">
        <v>4.6620000000000003E-3</v>
      </c>
      <c r="Q19">
        <v>3.1769250000000002</v>
      </c>
      <c r="R19">
        <v>3.1815859999999998</v>
      </c>
      <c r="S19" t="s">
        <v>137</v>
      </c>
      <c r="T19">
        <v>1.5588770000000001</v>
      </c>
      <c r="U19">
        <v>4.1091999999999997E-2</v>
      </c>
      <c r="V19">
        <v>1.32E-3</v>
      </c>
      <c r="W19">
        <v>1.2440000000000001E-3</v>
      </c>
      <c r="X19">
        <v>2.5308000000000001E-2</v>
      </c>
      <c r="Y19">
        <v>66.760000000000005</v>
      </c>
      <c r="Z19" t="s">
        <v>137</v>
      </c>
      <c r="AA19">
        <v>32.71</v>
      </c>
      <c r="AB19">
        <v>0.86</v>
      </c>
      <c r="AC19">
        <v>0.03</v>
      </c>
      <c r="AD19">
        <v>0.03</v>
      </c>
      <c r="AE19">
        <v>0.53</v>
      </c>
    </row>
    <row r="20" spans="1:31" x14ac:dyDescent="0.3">
      <c r="A20" t="s">
        <v>24</v>
      </c>
      <c r="B20">
        <v>4</v>
      </c>
      <c r="C20">
        <v>3</v>
      </c>
      <c r="D20">
        <v>4</v>
      </c>
      <c r="E20">
        <v>3</v>
      </c>
      <c r="F20">
        <v>0.9</v>
      </c>
      <c r="G20">
        <v>0.9</v>
      </c>
      <c r="H20">
        <v>5.0000000000000001E-3</v>
      </c>
      <c r="I20">
        <v>120</v>
      </c>
      <c r="J20">
        <v>100</v>
      </c>
      <c r="K20">
        <v>3.6243970000000001</v>
      </c>
      <c r="L20">
        <v>2.534783</v>
      </c>
      <c r="M20">
        <v>98.98</v>
      </c>
      <c r="N20">
        <v>37</v>
      </c>
      <c r="O20">
        <v>63</v>
      </c>
      <c r="P20">
        <v>4.516E-3</v>
      </c>
      <c r="Q20">
        <v>2.6039500000000002</v>
      </c>
      <c r="R20">
        <v>2.608466</v>
      </c>
      <c r="S20" t="s">
        <v>137</v>
      </c>
      <c r="T20">
        <v>1.003687</v>
      </c>
      <c r="U20">
        <v>3.0429999999999999E-2</v>
      </c>
      <c r="V20">
        <v>1.354E-3</v>
      </c>
      <c r="W20">
        <v>9.9299999999999996E-4</v>
      </c>
      <c r="X20">
        <v>1.2244E-2</v>
      </c>
      <c r="Y20">
        <v>71.97</v>
      </c>
      <c r="Z20" t="s">
        <v>137</v>
      </c>
      <c r="AA20">
        <v>27.69</v>
      </c>
      <c r="AB20">
        <v>0.84</v>
      </c>
      <c r="AC20">
        <v>0.04</v>
      </c>
      <c r="AD20">
        <v>0.03</v>
      </c>
      <c r="AE20">
        <v>0.34</v>
      </c>
    </row>
    <row r="21" spans="1:31" x14ac:dyDescent="0.3">
      <c r="A21" t="s">
        <v>25</v>
      </c>
      <c r="B21">
        <v>4</v>
      </c>
      <c r="C21">
        <v>3</v>
      </c>
      <c r="D21">
        <v>4</v>
      </c>
      <c r="E21">
        <v>3</v>
      </c>
      <c r="F21">
        <v>0.9</v>
      </c>
      <c r="G21">
        <v>0.9</v>
      </c>
      <c r="H21">
        <v>5.0000000000000001E-3</v>
      </c>
      <c r="I21">
        <v>120</v>
      </c>
      <c r="J21">
        <v>100</v>
      </c>
      <c r="K21">
        <v>4.7183440000000001</v>
      </c>
      <c r="L21">
        <v>4.4893669999999997</v>
      </c>
      <c r="M21">
        <v>119.95</v>
      </c>
      <c r="N21">
        <v>44</v>
      </c>
      <c r="O21">
        <v>56</v>
      </c>
      <c r="P21">
        <v>4.4050000000000001E-3</v>
      </c>
      <c r="Q21">
        <v>3.1872609999999999</v>
      </c>
      <c r="R21">
        <v>3.191665</v>
      </c>
      <c r="S21" t="s">
        <v>137</v>
      </c>
      <c r="T21">
        <v>1.4980439999999999</v>
      </c>
      <c r="U21">
        <v>3.7252E-2</v>
      </c>
      <c r="V21">
        <v>1.3339999999999999E-3</v>
      </c>
      <c r="W21">
        <v>1.1429999999999999E-3</v>
      </c>
      <c r="X21">
        <v>2.8635000000000001E-2</v>
      </c>
      <c r="Y21">
        <v>67.64</v>
      </c>
      <c r="Z21" t="s">
        <v>137</v>
      </c>
      <c r="AA21">
        <v>31.75</v>
      </c>
      <c r="AB21">
        <v>0.79</v>
      </c>
      <c r="AC21">
        <v>0.03</v>
      </c>
      <c r="AD21">
        <v>0.02</v>
      </c>
      <c r="AE21">
        <v>0.61</v>
      </c>
    </row>
    <row r="22" spans="1:31" x14ac:dyDescent="0.3">
      <c r="A22" t="s">
        <v>26</v>
      </c>
      <c r="B22">
        <v>4</v>
      </c>
      <c r="C22">
        <v>3</v>
      </c>
      <c r="D22">
        <v>4</v>
      </c>
      <c r="E22">
        <v>3</v>
      </c>
      <c r="F22">
        <v>0.9</v>
      </c>
      <c r="G22">
        <v>0.9</v>
      </c>
      <c r="H22">
        <v>5.0000000000000001E-3</v>
      </c>
      <c r="I22">
        <v>120</v>
      </c>
      <c r="J22">
        <v>100</v>
      </c>
      <c r="K22">
        <v>3.1840549999999999</v>
      </c>
      <c r="L22">
        <v>2.6326070000000001</v>
      </c>
      <c r="M22">
        <v>80.06</v>
      </c>
      <c r="N22">
        <v>26</v>
      </c>
      <c r="O22">
        <v>74</v>
      </c>
      <c r="P22">
        <v>4.4050000000000001E-3</v>
      </c>
      <c r="Q22">
        <v>2.2999580000000002</v>
      </c>
      <c r="R22">
        <v>2.3043629999999999</v>
      </c>
      <c r="S22" t="s">
        <v>137</v>
      </c>
      <c r="T22">
        <v>0.86971100000000001</v>
      </c>
      <c r="U22">
        <v>2.4612999999999999E-2</v>
      </c>
      <c r="V22">
        <v>1.323E-3</v>
      </c>
      <c r="W22">
        <v>8.0500000000000005E-4</v>
      </c>
      <c r="X22">
        <v>9.9810000000000003E-3</v>
      </c>
      <c r="Y22">
        <v>72.37</v>
      </c>
      <c r="Z22" t="s">
        <v>137</v>
      </c>
      <c r="AA22">
        <v>27.31</v>
      </c>
      <c r="AB22">
        <v>0.77</v>
      </c>
      <c r="AC22">
        <v>0.04</v>
      </c>
      <c r="AD22">
        <v>0.03</v>
      </c>
      <c r="AE22">
        <v>0.31</v>
      </c>
    </row>
    <row r="23" spans="1:31" x14ac:dyDescent="0.3">
      <c r="A23" t="s">
        <v>27</v>
      </c>
      <c r="B23">
        <v>4</v>
      </c>
      <c r="C23">
        <v>3</v>
      </c>
      <c r="D23">
        <v>4</v>
      </c>
      <c r="E23">
        <v>3</v>
      </c>
      <c r="F23">
        <v>0.9</v>
      </c>
      <c r="G23">
        <v>0.9</v>
      </c>
      <c r="H23">
        <v>5.0000000000000001E-3</v>
      </c>
      <c r="I23">
        <v>120</v>
      </c>
      <c r="J23">
        <v>100</v>
      </c>
      <c r="K23">
        <v>12.084292</v>
      </c>
      <c r="L23">
        <v>8.7107039999999998</v>
      </c>
      <c r="M23">
        <v>327.78</v>
      </c>
      <c r="N23">
        <v>93</v>
      </c>
      <c r="O23">
        <v>7</v>
      </c>
      <c r="P23">
        <v>4.5649999999999996E-3</v>
      </c>
      <c r="Q23">
        <v>6.8163739999999997</v>
      </c>
      <c r="R23">
        <v>6.8209390000000001</v>
      </c>
      <c r="S23" t="s">
        <v>137</v>
      </c>
      <c r="T23">
        <v>5.1689489999999996</v>
      </c>
      <c r="U23">
        <v>0.10376199999999999</v>
      </c>
      <c r="V23">
        <v>1.408E-3</v>
      </c>
      <c r="W23">
        <v>3.1740000000000002E-3</v>
      </c>
      <c r="X23">
        <v>9.4404000000000002E-2</v>
      </c>
      <c r="Y23">
        <v>56.44</v>
      </c>
      <c r="Z23" t="s">
        <v>137</v>
      </c>
      <c r="AA23">
        <v>42.77</v>
      </c>
      <c r="AB23">
        <v>0.86</v>
      </c>
      <c r="AC23">
        <v>0.01</v>
      </c>
      <c r="AD23">
        <v>0.03</v>
      </c>
      <c r="AE23">
        <v>0.78</v>
      </c>
    </row>
    <row r="24" spans="1:31" x14ac:dyDescent="0.3">
      <c r="A24" t="s">
        <v>28</v>
      </c>
      <c r="B24">
        <v>4</v>
      </c>
      <c r="C24">
        <v>3</v>
      </c>
      <c r="D24">
        <v>4</v>
      </c>
      <c r="E24">
        <v>3</v>
      </c>
      <c r="F24">
        <v>0.9</v>
      </c>
      <c r="G24">
        <v>0.9</v>
      </c>
      <c r="H24">
        <v>5.0000000000000001E-3</v>
      </c>
      <c r="I24">
        <v>120</v>
      </c>
      <c r="J24">
        <v>100</v>
      </c>
      <c r="K24">
        <v>3.7025399999999999</v>
      </c>
      <c r="L24">
        <v>2.8043459999999998</v>
      </c>
      <c r="M24">
        <v>102.38</v>
      </c>
      <c r="N24">
        <v>35</v>
      </c>
      <c r="O24">
        <v>65</v>
      </c>
      <c r="P24">
        <v>4.4980000000000003E-3</v>
      </c>
      <c r="Q24">
        <v>2.6361569999999999</v>
      </c>
      <c r="R24">
        <v>2.6406550000000002</v>
      </c>
      <c r="S24" t="s">
        <v>137</v>
      </c>
      <c r="T24">
        <v>1.0509679999999999</v>
      </c>
      <c r="U24">
        <v>3.175E-2</v>
      </c>
      <c r="V24">
        <v>1.3270000000000001E-3</v>
      </c>
      <c r="W24">
        <v>9.9099999999999991E-4</v>
      </c>
      <c r="X24">
        <v>1.0917E-2</v>
      </c>
      <c r="Y24">
        <v>71.319999999999993</v>
      </c>
      <c r="Z24" t="s">
        <v>137</v>
      </c>
      <c r="AA24">
        <v>28.39</v>
      </c>
      <c r="AB24">
        <v>0.86</v>
      </c>
      <c r="AC24">
        <v>0.04</v>
      </c>
      <c r="AD24">
        <v>0.03</v>
      </c>
      <c r="AE24">
        <v>0.28999999999999998</v>
      </c>
    </row>
    <row r="25" spans="1:31" x14ac:dyDescent="0.3">
      <c r="A25" t="s">
        <v>29</v>
      </c>
      <c r="B25">
        <v>4</v>
      </c>
      <c r="C25">
        <v>3</v>
      </c>
      <c r="D25">
        <v>4</v>
      </c>
      <c r="E25">
        <v>3</v>
      </c>
      <c r="F25">
        <v>0.9</v>
      </c>
      <c r="G25">
        <v>0.9</v>
      </c>
      <c r="H25">
        <v>5.0000000000000001E-3</v>
      </c>
      <c r="I25">
        <v>120</v>
      </c>
      <c r="J25">
        <v>100</v>
      </c>
      <c r="K25">
        <v>3.1971150000000002</v>
      </c>
      <c r="L25">
        <v>2.5989019999999998</v>
      </c>
      <c r="M25">
        <v>83.82</v>
      </c>
      <c r="N25">
        <v>31</v>
      </c>
      <c r="O25">
        <v>69</v>
      </c>
      <c r="P25">
        <v>4.4219999999999997E-3</v>
      </c>
      <c r="Q25">
        <v>2.29379</v>
      </c>
      <c r="R25">
        <v>2.2982119999999999</v>
      </c>
      <c r="S25" t="s">
        <v>137</v>
      </c>
      <c r="T25">
        <v>0.89029599999999998</v>
      </c>
      <c r="U25">
        <v>2.5752000000000001E-2</v>
      </c>
      <c r="V25">
        <v>1.2899999999999999E-3</v>
      </c>
      <c r="W25">
        <v>8.3900000000000001E-4</v>
      </c>
      <c r="X25">
        <v>8.6070000000000001E-3</v>
      </c>
      <c r="Y25">
        <v>71.88</v>
      </c>
      <c r="Z25" t="s">
        <v>137</v>
      </c>
      <c r="AA25">
        <v>27.85</v>
      </c>
      <c r="AB25">
        <v>0.81</v>
      </c>
      <c r="AC25">
        <v>0.04</v>
      </c>
      <c r="AD25">
        <v>0.03</v>
      </c>
      <c r="AE25">
        <v>0.27</v>
      </c>
    </row>
    <row r="26" spans="1:31" x14ac:dyDescent="0.3">
      <c r="A26" t="s">
        <v>30</v>
      </c>
      <c r="B26">
        <v>4</v>
      </c>
      <c r="C26">
        <v>3</v>
      </c>
      <c r="D26">
        <v>4</v>
      </c>
      <c r="E26">
        <v>3</v>
      </c>
      <c r="F26">
        <v>0.9</v>
      </c>
      <c r="G26">
        <v>0.9</v>
      </c>
      <c r="H26">
        <v>5.0000000000000001E-3</v>
      </c>
      <c r="I26">
        <v>120</v>
      </c>
      <c r="J26">
        <v>100</v>
      </c>
      <c r="K26">
        <v>4.6905799999999997</v>
      </c>
      <c r="L26">
        <v>3.3438409999999998</v>
      </c>
      <c r="M26">
        <v>116.48</v>
      </c>
      <c r="N26">
        <v>46</v>
      </c>
      <c r="O26">
        <v>54</v>
      </c>
      <c r="P26">
        <v>4.4019999999999997E-3</v>
      </c>
      <c r="Q26">
        <v>3.2808440000000001</v>
      </c>
      <c r="R26">
        <v>3.2852459999999999</v>
      </c>
      <c r="S26" t="s">
        <v>137</v>
      </c>
      <c r="T26">
        <v>1.3870290000000001</v>
      </c>
      <c r="U26">
        <v>3.6082999999999997E-2</v>
      </c>
      <c r="V26">
        <v>1.3439999999999999E-3</v>
      </c>
      <c r="W26">
        <v>1.173E-3</v>
      </c>
      <c r="X26">
        <v>1.8304000000000001E-2</v>
      </c>
      <c r="Y26">
        <v>70.040000000000006</v>
      </c>
      <c r="Z26" t="s">
        <v>137</v>
      </c>
      <c r="AA26">
        <v>29.57</v>
      </c>
      <c r="AB26">
        <v>0.77</v>
      </c>
      <c r="AC26">
        <v>0.03</v>
      </c>
      <c r="AD26">
        <v>0.03</v>
      </c>
      <c r="AE26">
        <v>0.39</v>
      </c>
    </row>
    <row r="27" spans="1:31" x14ac:dyDescent="0.3">
      <c r="A27" t="s">
        <v>31</v>
      </c>
      <c r="B27">
        <v>4</v>
      </c>
      <c r="C27">
        <v>3</v>
      </c>
      <c r="D27">
        <v>4</v>
      </c>
      <c r="E27">
        <v>3</v>
      </c>
      <c r="F27">
        <v>0.9</v>
      </c>
      <c r="G27">
        <v>0.9</v>
      </c>
      <c r="H27">
        <v>5.0000000000000001E-3</v>
      </c>
      <c r="I27">
        <v>120</v>
      </c>
      <c r="J27">
        <v>100</v>
      </c>
      <c r="K27">
        <v>2.124368</v>
      </c>
      <c r="L27">
        <v>1.3793070000000001</v>
      </c>
      <c r="M27">
        <v>53.75</v>
      </c>
      <c r="N27">
        <v>10</v>
      </c>
      <c r="O27">
        <v>90</v>
      </c>
      <c r="P27">
        <v>4.3880000000000004E-3</v>
      </c>
      <c r="Q27">
        <v>1.6011249999999999</v>
      </c>
      <c r="R27">
        <v>1.605513</v>
      </c>
      <c r="S27" t="s">
        <v>137</v>
      </c>
      <c r="T27">
        <v>0.51461299999999999</v>
      </c>
      <c r="U27">
        <v>1.6177E-2</v>
      </c>
      <c r="V27">
        <v>1.322E-3</v>
      </c>
      <c r="W27">
        <v>5.2599999999999999E-4</v>
      </c>
      <c r="X27">
        <v>4.241E-3</v>
      </c>
      <c r="Y27">
        <v>75.58</v>
      </c>
      <c r="Z27" t="s">
        <v>137</v>
      </c>
      <c r="AA27">
        <v>24.22</v>
      </c>
      <c r="AB27">
        <v>0.76</v>
      </c>
      <c r="AC27">
        <v>0.06</v>
      </c>
      <c r="AD27">
        <v>0.02</v>
      </c>
      <c r="AE27">
        <v>0.2</v>
      </c>
    </row>
    <row r="28" spans="1:31" x14ac:dyDescent="0.3">
      <c r="A28" t="s">
        <v>32</v>
      </c>
      <c r="B28">
        <v>4</v>
      </c>
      <c r="C28">
        <v>3</v>
      </c>
      <c r="D28">
        <v>4</v>
      </c>
      <c r="E28">
        <v>3</v>
      </c>
      <c r="F28">
        <v>0.9</v>
      </c>
      <c r="G28">
        <v>0.9</v>
      </c>
      <c r="H28">
        <v>5.0000000000000001E-3</v>
      </c>
      <c r="I28">
        <v>120</v>
      </c>
      <c r="J28">
        <v>100</v>
      </c>
      <c r="K28">
        <v>2.9541240000000002</v>
      </c>
      <c r="L28">
        <v>1.755835</v>
      </c>
      <c r="M28">
        <v>79.989999999999995</v>
      </c>
      <c r="N28">
        <v>28</v>
      </c>
      <c r="O28">
        <v>72</v>
      </c>
      <c r="P28">
        <v>4.555E-3</v>
      </c>
      <c r="Q28">
        <v>2.1716579999999999</v>
      </c>
      <c r="R28">
        <v>2.1762139999999999</v>
      </c>
      <c r="S28" t="s">
        <v>137</v>
      </c>
      <c r="T28">
        <v>0.7732</v>
      </c>
      <c r="U28">
        <v>2.4584000000000002E-2</v>
      </c>
      <c r="V28">
        <v>1.2960000000000001E-3</v>
      </c>
      <c r="W28">
        <v>7.6199999999999998E-4</v>
      </c>
      <c r="X28">
        <v>4.7099999999999998E-3</v>
      </c>
      <c r="Y28">
        <v>73.67</v>
      </c>
      <c r="Z28" t="s">
        <v>137</v>
      </c>
      <c r="AA28">
        <v>26.17</v>
      </c>
      <c r="AB28">
        <v>0.83</v>
      </c>
      <c r="AC28">
        <v>0.04</v>
      </c>
      <c r="AD28">
        <v>0.03</v>
      </c>
      <c r="AE28">
        <v>0.16</v>
      </c>
    </row>
    <row r="29" spans="1:31" x14ac:dyDescent="0.3">
      <c r="A29" t="s">
        <v>33</v>
      </c>
      <c r="B29">
        <v>4</v>
      </c>
      <c r="C29">
        <v>3</v>
      </c>
      <c r="D29">
        <v>4</v>
      </c>
      <c r="E29">
        <v>3</v>
      </c>
      <c r="F29">
        <v>0.9</v>
      </c>
      <c r="G29">
        <v>0.9</v>
      </c>
      <c r="H29">
        <v>5.0000000000000001E-3</v>
      </c>
      <c r="I29">
        <v>120</v>
      </c>
      <c r="J29">
        <v>99</v>
      </c>
      <c r="K29">
        <v>10.417477</v>
      </c>
      <c r="L29">
        <v>13.621790000000001</v>
      </c>
      <c r="M29">
        <v>284.92</v>
      </c>
      <c r="N29">
        <v>76</v>
      </c>
      <c r="O29">
        <v>23</v>
      </c>
      <c r="P29">
        <v>4.5180000000000003E-3</v>
      </c>
      <c r="Q29">
        <v>5.3225610000000003</v>
      </c>
      <c r="R29">
        <v>5.3270780000000002</v>
      </c>
      <c r="S29" t="s">
        <v>137</v>
      </c>
      <c r="T29">
        <v>5.0315409999999998</v>
      </c>
      <c r="U29">
        <v>8.9746999999999993E-2</v>
      </c>
      <c r="V29">
        <v>1.415E-3</v>
      </c>
      <c r="W29">
        <v>2.9819999999999998E-3</v>
      </c>
      <c r="X29">
        <v>5.8857E-2</v>
      </c>
      <c r="Y29">
        <v>51.14</v>
      </c>
      <c r="Z29" t="s">
        <v>137</v>
      </c>
      <c r="AA29">
        <v>48.3</v>
      </c>
      <c r="AB29">
        <v>0.86</v>
      </c>
      <c r="AC29">
        <v>0.01</v>
      </c>
      <c r="AD29">
        <v>0.03</v>
      </c>
      <c r="AE29">
        <v>0.56000000000000005</v>
      </c>
    </row>
    <row r="30" spans="1:31" x14ac:dyDescent="0.3">
      <c r="A30" t="s">
        <v>34</v>
      </c>
      <c r="B30">
        <v>4</v>
      </c>
      <c r="C30">
        <v>3</v>
      </c>
      <c r="D30">
        <v>4</v>
      </c>
      <c r="E30">
        <v>3</v>
      </c>
      <c r="F30">
        <v>0.9</v>
      </c>
      <c r="G30">
        <v>0.9</v>
      </c>
      <c r="H30">
        <v>5.0000000000000001E-3</v>
      </c>
      <c r="I30">
        <v>120</v>
      </c>
      <c r="J30">
        <v>100</v>
      </c>
      <c r="K30">
        <v>8.7941289999999999</v>
      </c>
      <c r="L30">
        <v>7.2001910000000002</v>
      </c>
      <c r="M30">
        <v>248.06</v>
      </c>
      <c r="N30">
        <v>71</v>
      </c>
      <c r="O30">
        <v>29</v>
      </c>
      <c r="P30">
        <v>4.5640000000000003E-3</v>
      </c>
      <c r="Q30">
        <v>5.2596829999999999</v>
      </c>
      <c r="R30">
        <v>5.2642470000000001</v>
      </c>
      <c r="S30" t="s">
        <v>137</v>
      </c>
      <c r="T30">
        <v>3.4821949999999999</v>
      </c>
      <c r="U30">
        <v>7.7772999999999995E-2</v>
      </c>
      <c r="V30">
        <v>1.653E-3</v>
      </c>
      <c r="W30">
        <v>2.3140000000000001E-3</v>
      </c>
      <c r="X30">
        <v>4.7688000000000001E-2</v>
      </c>
      <c r="Y30">
        <v>59.86</v>
      </c>
      <c r="Z30" t="s">
        <v>137</v>
      </c>
      <c r="AA30">
        <v>39.6</v>
      </c>
      <c r="AB30">
        <v>0.88</v>
      </c>
      <c r="AC30">
        <v>0.02</v>
      </c>
      <c r="AD30">
        <v>0.03</v>
      </c>
      <c r="AE30">
        <v>0.54</v>
      </c>
    </row>
    <row r="31" spans="1:31" x14ac:dyDescent="0.3">
      <c r="A31" t="s">
        <v>35</v>
      </c>
      <c r="B31">
        <v>4</v>
      </c>
      <c r="C31">
        <v>3</v>
      </c>
      <c r="D31">
        <v>4</v>
      </c>
      <c r="E31">
        <v>3</v>
      </c>
      <c r="F31">
        <v>0.9</v>
      </c>
      <c r="G31">
        <v>0.9</v>
      </c>
      <c r="H31">
        <v>5.0000000000000001E-3</v>
      </c>
      <c r="I31">
        <v>120</v>
      </c>
      <c r="J31">
        <v>100</v>
      </c>
      <c r="K31">
        <v>5.1728630000000004</v>
      </c>
      <c r="L31">
        <v>3.7002929999999998</v>
      </c>
      <c r="M31">
        <v>134.65</v>
      </c>
      <c r="N31">
        <v>56</v>
      </c>
      <c r="O31">
        <v>44</v>
      </c>
      <c r="P31">
        <v>4.4019999999999997E-3</v>
      </c>
      <c r="Q31">
        <v>3.5460159999999998</v>
      </c>
      <c r="R31">
        <v>3.5504180000000001</v>
      </c>
      <c r="S31" t="s">
        <v>137</v>
      </c>
      <c r="T31">
        <v>1.595961</v>
      </c>
      <c r="U31">
        <v>4.1911999999999998E-2</v>
      </c>
      <c r="V31">
        <v>1.374E-3</v>
      </c>
      <c r="W31">
        <v>1.3910000000000001E-3</v>
      </c>
      <c r="X31">
        <v>2.6483E-2</v>
      </c>
      <c r="Y31">
        <v>68.64</v>
      </c>
      <c r="Z31" t="s">
        <v>137</v>
      </c>
      <c r="AA31">
        <v>30.85</v>
      </c>
      <c r="AB31">
        <v>0.81</v>
      </c>
      <c r="AC31">
        <v>0.03</v>
      </c>
      <c r="AD31">
        <v>0.03</v>
      </c>
      <c r="AE31">
        <v>0.51</v>
      </c>
    </row>
    <row r="32" spans="1:31" x14ac:dyDescent="0.3">
      <c r="A32" t="s">
        <v>36</v>
      </c>
      <c r="B32">
        <v>4</v>
      </c>
      <c r="C32">
        <v>3</v>
      </c>
      <c r="D32">
        <v>4</v>
      </c>
      <c r="E32">
        <v>3</v>
      </c>
      <c r="F32">
        <v>0.9</v>
      </c>
      <c r="G32">
        <v>0.9</v>
      </c>
      <c r="H32">
        <v>5.0000000000000001E-3</v>
      </c>
      <c r="I32">
        <v>120</v>
      </c>
      <c r="J32">
        <v>100</v>
      </c>
      <c r="K32">
        <v>3.6365530000000001</v>
      </c>
      <c r="L32">
        <v>3.1779799999999998</v>
      </c>
      <c r="M32">
        <v>95.2</v>
      </c>
      <c r="N32">
        <v>35</v>
      </c>
      <c r="O32">
        <v>65</v>
      </c>
      <c r="P32">
        <v>4.4159999999999998E-3</v>
      </c>
      <c r="Q32">
        <v>2.553623</v>
      </c>
      <c r="R32">
        <v>2.558039</v>
      </c>
      <c r="S32" t="s">
        <v>137</v>
      </c>
      <c r="T32">
        <v>1.0595509999999999</v>
      </c>
      <c r="U32">
        <v>2.9297E-2</v>
      </c>
      <c r="V32">
        <v>1.4649999999999999E-3</v>
      </c>
      <c r="W32">
        <v>8.8099999999999995E-4</v>
      </c>
      <c r="X32">
        <v>1.8963000000000001E-2</v>
      </c>
      <c r="Y32">
        <v>70.34</v>
      </c>
      <c r="Z32" t="s">
        <v>137</v>
      </c>
      <c r="AA32">
        <v>29.14</v>
      </c>
      <c r="AB32">
        <v>0.81</v>
      </c>
      <c r="AC32">
        <v>0.04</v>
      </c>
      <c r="AD32">
        <v>0.02</v>
      </c>
      <c r="AE32">
        <v>0.52</v>
      </c>
    </row>
    <row r="33" spans="1:31" x14ac:dyDescent="0.3">
      <c r="A33" t="s">
        <v>37</v>
      </c>
      <c r="B33">
        <v>4</v>
      </c>
      <c r="C33">
        <v>3</v>
      </c>
      <c r="D33">
        <v>4</v>
      </c>
      <c r="E33">
        <v>3</v>
      </c>
      <c r="F33">
        <v>0.9</v>
      </c>
      <c r="G33">
        <v>0.9</v>
      </c>
      <c r="H33">
        <v>5.0000000000000001E-3</v>
      </c>
      <c r="I33">
        <v>120</v>
      </c>
      <c r="J33">
        <v>100</v>
      </c>
      <c r="K33">
        <v>4.9200929999999996</v>
      </c>
      <c r="L33">
        <v>3.4716870000000002</v>
      </c>
      <c r="M33">
        <v>136.71</v>
      </c>
      <c r="N33">
        <v>55</v>
      </c>
      <c r="O33">
        <v>45</v>
      </c>
      <c r="P33">
        <v>4.5279999999999999E-3</v>
      </c>
      <c r="Q33">
        <v>3.401986</v>
      </c>
      <c r="R33">
        <v>3.406514</v>
      </c>
      <c r="S33" t="s">
        <v>137</v>
      </c>
      <c r="T33">
        <v>1.4860770000000001</v>
      </c>
      <c r="U33">
        <v>4.2500000000000003E-2</v>
      </c>
      <c r="V33">
        <v>1.4220000000000001E-3</v>
      </c>
      <c r="W33">
        <v>1.3090000000000001E-3</v>
      </c>
      <c r="X33">
        <v>2.7501999999999999E-2</v>
      </c>
      <c r="Y33">
        <v>69.239999999999995</v>
      </c>
      <c r="Z33" t="s">
        <v>137</v>
      </c>
      <c r="AA33">
        <v>30.2</v>
      </c>
      <c r="AB33">
        <v>0.86</v>
      </c>
      <c r="AC33">
        <v>0.03</v>
      </c>
      <c r="AD33">
        <v>0.03</v>
      </c>
      <c r="AE33">
        <v>0.56000000000000005</v>
      </c>
    </row>
    <row r="34" spans="1:31" x14ac:dyDescent="0.3">
      <c r="A34" t="s">
        <v>38</v>
      </c>
      <c r="B34">
        <v>4</v>
      </c>
      <c r="C34">
        <v>3</v>
      </c>
      <c r="D34">
        <v>4</v>
      </c>
      <c r="E34">
        <v>3</v>
      </c>
      <c r="F34">
        <v>0.9</v>
      </c>
      <c r="G34">
        <v>0.9</v>
      </c>
      <c r="H34">
        <v>5.0000000000000001E-3</v>
      </c>
      <c r="I34">
        <v>120</v>
      </c>
      <c r="J34">
        <v>100</v>
      </c>
      <c r="K34">
        <v>1.680023</v>
      </c>
      <c r="L34">
        <v>1.1910480000000001</v>
      </c>
      <c r="M34">
        <v>44</v>
      </c>
      <c r="N34">
        <v>4</v>
      </c>
      <c r="O34">
        <v>96</v>
      </c>
      <c r="P34">
        <v>4.5030000000000001E-3</v>
      </c>
      <c r="Q34">
        <v>1.267474</v>
      </c>
      <c r="R34">
        <v>1.271976</v>
      </c>
      <c r="S34" t="s">
        <v>137</v>
      </c>
      <c r="T34">
        <v>0.405887</v>
      </c>
      <c r="U34">
        <v>1.3100000000000001E-2</v>
      </c>
      <c r="V34">
        <v>1.2130000000000001E-3</v>
      </c>
      <c r="W34">
        <v>3.9800000000000002E-4</v>
      </c>
      <c r="X34">
        <v>2.16E-3</v>
      </c>
      <c r="Y34">
        <v>75.709999999999994</v>
      </c>
      <c r="Z34" t="s">
        <v>137</v>
      </c>
      <c r="AA34">
        <v>24.16</v>
      </c>
      <c r="AB34">
        <v>0.78</v>
      </c>
      <c r="AC34">
        <v>7.0000000000000007E-2</v>
      </c>
      <c r="AD34">
        <v>0.02</v>
      </c>
      <c r="AE34">
        <v>0.13</v>
      </c>
    </row>
    <row r="35" spans="1:31" x14ac:dyDescent="0.3">
      <c r="A35" t="s">
        <v>39</v>
      </c>
      <c r="B35">
        <v>4</v>
      </c>
      <c r="C35">
        <v>3</v>
      </c>
      <c r="D35">
        <v>4</v>
      </c>
      <c r="E35">
        <v>3</v>
      </c>
      <c r="F35">
        <v>0.9</v>
      </c>
      <c r="G35">
        <v>0.9</v>
      </c>
      <c r="H35">
        <v>5.0000000000000001E-3</v>
      </c>
      <c r="I35">
        <v>120</v>
      </c>
      <c r="J35">
        <v>100</v>
      </c>
      <c r="K35">
        <v>2.9741399999999998</v>
      </c>
      <c r="L35">
        <v>2.2807819999999999</v>
      </c>
      <c r="M35">
        <v>78.84</v>
      </c>
      <c r="N35">
        <v>23</v>
      </c>
      <c r="O35">
        <v>77</v>
      </c>
      <c r="P35">
        <v>4.4539999999999996E-3</v>
      </c>
      <c r="Q35">
        <v>2.1652849999999999</v>
      </c>
      <c r="R35">
        <v>2.1697389999999999</v>
      </c>
      <c r="S35" t="s">
        <v>137</v>
      </c>
      <c r="T35">
        <v>0.79661599999999999</v>
      </c>
      <c r="U35">
        <v>2.4021000000000001E-2</v>
      </c>
      <c r="V35">
        <v>1.372E-3</v>
      </c>
      <c r="W35">
        <v>7.2099999999999996E-4</v>
      </c>
      <c r="X35">
        <v>7.7850000000000003E-3</v>
      </c>
      <c r="Y35">
        <v>72.95</v>
      </c>
      <c r="Z35" t="s">
        <v>137</v>
      </c>
      <c r="AA35">
        <v>26.78</v>
      </c>
      <c r="AB35">
        <v>0.81</v>
      </c>
      <c r="AC35">
        <v>0.05</v>
      </c>
      <c r="AD35">
        <v>0.02</v>
      </c>
      <c r="AE35">
        <v>0.26</v>
      </c>
    </row>
    <row r="36" spans="1:31" x14ac:dyDescent="0.3">
      <c r="A36" t="s">
        <v>40</v>
      </c>
      <c r="B36">
        <v>4</v>
      </c>
      <c r="C36">
        <v>3</v>
      </c>
      <c r="D36">
        <v>4</v>
      </c>
      <c r="E36">
        <v>3</v>
      </c>
      <c r="F36">
        <v>0.9</v>
      </c>
      <c r="G36">
        <v>0.9</v>
      </c>
      <c r="H36">
        <v>5.0000000000000001E-3</v>
      </c>
      <c r="I36">
        <v>120</v>
      </c>
      <c r="J36">
        <v>100</v>
      </c>
      <c r="K36">
        <v>13.575837999999999</v>
      </c>
      <c r="L36">
        <v>14.245756999999999</v>
      </c>
      <c r="M36">
        <v>374.64</v>
      </c>
      <c r="N36">
        <v>82</v>
      </c>
      <c r="O36">
        <v>18</v>
      </c>
      <c r="P36">
        <v>4.555E-3</v>
      </c>
      <c r="Q36">
        <v>6.9253549999999997</v>
      </c>
      <c r="R36">
        <v>6.9299109999999997</v>
      </c>
      <c r="S36" t="s">
        <v>137</v>
      </c>
      <c r="T36">
        <v>6.5308809999999999</v>
      </c>
      <c r="U36">
        <v>0.118478</v>
      </c>
      <c r="V36">
        <v>1.5150000000000001E-3</v>
      </c>
      <c r="W36">
        <v>3.6749999999999999E-3</v>
      </c>
      <c r="X36">
        <v>0.115047</v>
      </c>
      <c r="Y36">
        <v>51.05</v>
      </c>
      <c r="Z36" t="s">
        <v>137</v>
      </c>
      <c r="AA36">
        <v>48.11</v>
      </c>
      <c r="AB36">
        <v>0.87</v>
      </c>
      <c r="AC36">
        <v>0.01</v>
      </c>
      <c r="AD36">
        <v>0.03</v>
      </c>
      <c r="AE36">
        <v>0.85</v>
      </c>
    </row>
    <row r="37" spans="1:31" x14ac:dyDescent="0.3">
      <c r="A37" t="s">
        <v>41</v>
      </c>
      <c r="B37">
        <v>4</v>
      </c>
      <c r="C37">
        <v>3</v>
      </c>
      <c r="D37">
        <v>4</v>
      </c>
      <c r="E37">
        <v>3</v>
      </c>
      <c r="F37">
        <v>0.9</v>
      </c>
      <c r="G37">
        <v>0.9</v>
      </c>
      <c r="H37">
        <v>5.0000000000000001E-3</v>
      </c>
      <c r="I37">
        <v>120</v>
      </c>
      <c r="J37">
        <v>100</v>
      </c>
      <c r="K37">
        <v>1.9644250000000001</v>
      </c>
      <c r="L37">
        <v>1.3161130000000001</v>
      </c>
      <c r="M37">
        <v>51.65</v>
      </c>
      <c r="N37">
        <v>10</v>
      </c>
      <c r="O37">
        <v>90</v>
      </c>
      <c r="P37">
        <v>4.542E-3</v>
      </c>
      <c r="Q37">
        <v>1.4796590000000001</v>
      </c>
      <c r="R37">
        <v>1.484202</v>
      </c>
      <c r="S37" t="s">
        <v>137</v>
      </c>
      <c r="T37">
        <v>0.47807899999999998</v>
      </c>
      <c r="U37">
        <v>1.5551000000000001E-2</v>
      </c>
      <c r="V37">
        <v>1.279E-3</v>
      </c>
      <c r="W37">
        <v>4.7199999999999998E-4</v>
      </c>
      <c r="X37">
        <v>2.1440000000000001E-3</v>
      </c>
      <c r="Y37">
        <v>75.55</v>
      </c>
      <c r="Z37" t="s">
        <v>137</v>
      </c>
      <c r="AA37">
        <v>24.34</v>
      </c>
      <c r="AB37">
        <v>0.79</v>
      </c>
      <c r="AC37">
        <v>7.0000000000000007E-2</v>
      </c>
      <c r="AD37">
        <v>0.02</v>
      </c>
      <c r="AE37">
        <v>0.11</v>
      </c>
    </row>
    <row r="38" spans="1:31" x14ac:dyDescent="0.3">
      <c r="A38" t="s">
        <v>42</v>
      </c>
      <c r="B38">
        <v>4</v>
      </c>
      <c r="C38">
        <v>3</v>
      </c>
      <c r="D38">
        <v>4</v>
      </c>
      <c r="E38">
        <v>3</v>
      </c>
      <c r="F38">
        <v>0.9</v>
      </c>
      <c r="G38">
        <v>0.9</v>
      </c>
      <c r="H38">
        <v>5.0000000000000001E-3</v>
      </c>
      <c r="I38">
        <v>120</v>
      </c>
      <c r="J38">
        <v>100</v>
      </c>
      <c r="K38">
        <v>2.1673309999999999</v>
      </c>
      <c r="L38">
        <v>1.4379249999999999</v>
      </c>
      <c r="M38">
        <v>60.61</v>
      </c>
      <c r="N38">
        <v>13</v>
      </c>
      <c r="O38">
        <v>87</v>
      </c>
      <c r="P38">
        <v>4.7099999999999998E-3</v>
      </c>
      <c r="Q38">
        <v>1.621747</v>
      </c>
      <c r="R38">
        <v>1.626457</v>
      </c>
      <c r="S38" t="s">
        <v>137</v>
      </c>
      <c r="T38">
        <v>0.53913500000000003</v>
      </c>
      <c r="U38">
        <v>1.8342000000000001E-2</v>
      </c>
      <c r="V38">
        <v>1.2869999999999999E-3</v>
      </c>
      <c r="W38">
        <v>6.1499999999999999E-4</v>
      </c>
      <c r="X38">
        <v>1.7390000000000001E-3</v>
      </c>
      <c r="Y38">
        <v>75.040000000000006</v>
      </c>
      <c r="Z38" t="s">
        <v>137</v>
      </c>
      <c r="AA38">
        <v>24.88</v>
      </c>
      <c r="AB38">
        <v>0.85</v>
      </c>
      <c r="AC38">
        <v>0.06</v>
      </c>
      <c r="AD38">
        <v>0.03</v>
      </c>
      <c r="AE38">
        <v>0.08</v>
      </c>
    </row>
    <row r="39" spans="1:31" x14ac:dyDescent="0.3">
      <c r="A39" t="s">
        <v>43</v>
      </c>
      <c r="B39">
        <v>4</v>
      </c>
      <c r="C39">
        <v>3</v>
      </c>
      <c r="D39">
        <v>4</v>
      </c>
      <c r="E39">
        <v>3</v>
      </c>
      <c r="F39">
        <v>0.9</v>
      </c>
      <c r="G39">
        <v>0.9</v>
      </c>
      <c r="H39">
        <v>5.0000000000000001E-3</v>
      </c>
      <c r="I39">
        <v>120</v>
      </c>
      <c r="J39">
        <v>100</v>
      </c>
      <c r="K39">
        <v>1.6950099999999999</v>
      </c>
      <c r="L39">
        <v>0.94750199999999996</v>
      </c>
      <c r="M39">
        <v>44.11</v>
      </c>
      <c r="N39">
        <v>2</v>
      </c>
      <c r="O39">
        <v>98</v>
      </c>
      <c r="P39">
        <v>4.4799999999999996E-3</v>
      </c>
      <c r="Q39">
        <v>1.294435</v>
      </c>
      <c r="R39">
        <v>1.298915</v>
      </c>
      <c r="S39" t="s">
        <v>137</v>
      </c>
      <c r="T39">
        <v>0.39552199999999998</v>
      </c>
      <c r="U39">
        <v>1.2997999999999999E-2</v>
      </c>
      <c r="V39">
        <v>1.3129999999999999E-3</v>
      </c>
      <c r="W39">
        <v>4.1800000000000002E-4</v>
      </c>
      <c r="X39">
        <v>5.7399999999999997E-4</v>
      </c>
      <c r="Y39">
        <v>76.63</v>
      </c>
      <c r="Z39" t="s">
        <v>137</v>
      </c>
      <c r="AA39">
        <v>23.33</v>
      </c>
      <c r="AB39">
        <v>0.77</v>
      </c>
      <c r="AC39">
        <v>0.08</v>
      </c>
      <c r="AD39">
        <v>0.02</v>
      </c>
      <c r="AE39">
        <v>0.03</v>
      </c>
    </row>
    <row r="40" spans="1:31" x14ac:dyDescent="0.3">
      <c r="A40" t="s">
        <v>44</v>
      </c>
      <c r="B40">
        <v>4</v>
      </c>
      <c r="C40">
        <v>3</v>
      </c>
      <c r="D40">
        <v>4</v>
      </c>
      <c r="E40">
        <v>3</v>
      </c>
      <c r="F40">
        <v>0.9</v>
      </c>
      <c r="G40">
        <v>0.9</v>
      </c>
      <c r="H40">
        <v>5.0000000000000001E-3</v>
      </c>
      <c r="I40">
        <v>120</v>
      </c>
      <c r="J40">
        <v>100</v>
      </c>
      <c r="K40">
        <v>3.3448220000000002</v>
      </c>
      <c r="L40">
        <v>2.5241169999999999</v>
      </c>
      <c r="M40">
        <v>89.29</v>
      </c>
      <c r="N40">
        <v>30</v>
      </c>
      <c r="O40">
        <v>70</v>
      </c>
      <c r="P40">
        <v>4.4759999999999999E-3</v>
      </c>
      <c r="Q40">
        <v>2.4130829999999999</v>
      </c>
      <c r="R40">
        <v>2.4175589999999998</v>
      </c>
      <c r="S40" t="s">
        <v>137</v>
      </c>
      <c r="T40">
        <v>0.91630999999999996</v>
      </c>
      <c r="U40">
        <v>2.742E-2</v>
      </c>
      <c r="V40">
        <v>1.286E-3</v>
      </c>
      <c r="W40">
        <v>8.9800000000000004E-4</v>
      </c>
      <c r="X40">
        <v>1.0952E-2</v>
      </c>
      <c r="Y40">
        <v>72.28</v>
      </c>
      <c r="Z40" t="s">
        <v>137</v>
      </c>
      <c r="AA40">
        <v>27.39</v>
      </c>
      <c r="AB40">
        <v>0.82</v>
      </c>
      <c r="AC40">
        <v>0.04</v>
      </c>
      <c r="AD40">
        <v>0.03</v>
      </c>
      <c r="AE40">
        <v>0.33</v>
      </c>
    </row>
    <row r="41" spans="1:31" x14ac:dyDescent="0.3">
      <c r="A41" t="s">
        <v>45</v>
      </c>
      <c r="B41">
        <v>4</v>
      </c>
      <c r="C41">
        <v>3</v>
      </c>
      <c r="D41">
        <v>4</v>
      </c>
      <c r="E41">
        <v>3</v>
      </c>
      <c r="F41">
        <v>0.9</v>
      </c>
      <c r="G41">
        <v>0.9</v>
      </c>
      <c r="H41">
        <v>5.0000000000000001E-3</v>
      </c>
      <c r="I41">
        <v>120</v>
      </c>
      <c r="J41">
        <v>100</v>
      </c>
      <c r="K41">
        <v>3.3129149999999998</v>
      </c>
      <c r="L41">
        <v>3.0046240000000002</v>
      </c>
      <c r="M41">
        <v>90.55</v>
      </c>
      <c r="N41">
        <v>36</v>
      </c>
      <c r="O41">
        <v>64</v>
      </c>
      <c r="P41">
        <v>4.4169999999999999E-3</v>
      </c>
      <c r="Q41">
        <v>2.3374969999999999</v>
      </c>
      <c r="R41">
        <v>2.3419140000000001</v>
      </c>
      <c r="S41" t="s">
        <v>137</v>
      </c>
      <c r="T41">
        <v>0.95982999999999996</v>
      </c>
      <c r="U41">
        <v>2.7813999999999998E-2</v>
      </c>
      <c r="V41">
        <v>1.2849999999999999E-3</v>
      </c>
      <c r="W41">
        <v>9.1E-4</v>
      </c>
      <c r="X41">
        <v>1.1169999999999999E-2</v>
      </c>
      <c r="Y41">
        <v>70.69</v>
      </c>
      <c r="Z41" t="s">
        <v>137</v>
      </c>
      <c r="AA41">
        <v>28.97</v>
      </c>
      <c r="AB41">
        <v>0.84</v>
      </c>
      <c r="AC41">
        <v>0.04</v>
      </c>
      <c r="AD41">
        <v>0.03</v>
      </c>
      <c r="AE41">
        <v>0.34</v>
      </c>
    </row>
    <row r="42" spans="1:31" x14ac:dyDescent="0.3">
      <c r="A42" t="s">
        <v>46</v>
      </c>
      <c r="B42">
        <v>4</v>
      </c>
      <c r="C42">
        <v>3</v>
      </c>
      <c r="D42">
        <v>4</v>
      </c>
      <c r="E42">
        <v>3</v>
      </c>
      <c r="F42">
        <v>0.9</v>
      </c>
      <c r="G42">
        <v>0.9</v>
      </c>
      <c r="H42">
        <v>5.0000000000000001E-3</v>
      </c>
      <c r="I42">
        <v>120</v>
      </c>
      <c r="J42">
        <v>100</v>
      </c>
      <c r="K42">
        <v>4.6709209999999999</v>
      </c>
      <c r="L42">
        <v>2.8518119999999998</v>
      </c>
      <c r="M42">
        <v>124.28</v>
      </c>
      <c r="N42">
        <v>61</v>
      </c>
      <c r="O42">
        <v>39</v>
      </c>
      <c r="P42">
        <v>4.5189999999999996E-3</v>
      </c>
      <c r="Q42">
        <v>3.2899669999999999</v>
      </c>
      <c r="R42">
        <v>3.294486</v>
      </c>
      <c r="S42" t="s">
        <v>137</v>
      </c>
      <c r="T42">
        <v>1.3668499999999999</v>
      </c>
      <c r="U42">
        <v>3.8545000000000003E-2</v>
      </c>
      <c r="V42">
        <v>1.3389999999999999E-3</v>
      </c>
      <c r="W42">
        <v>1.2199999999999999E-3</v>
      </c>
      <c r="X42">
        <v>9.5849999999999998E-3</v>
      </c>
      <c r="Y42">
        <v>70.53</v>
      </c>
      <c r="Z42" t="s">
        <v>137</v>
      </c>
      <c r="AA42">
        <v>29.26</v>
      </c>
      <c r="AB42">
        <v>0.83</v>
      </c>
      <c r="AC42">
        <v>0.03</v>
      </c>
      <c r="AD42">
        <v>0.03</v>
      </c>
      <c r="AE42">
        <v>0.21</v>
      </c>
    </row>
    <row r="43" spans="1:31" x14ac:dyDescent="0.3">
      <c r="A43" t="s">
        <v>47</v>
      </c>
      <c r="B43">
        <v>4</v>
      </c>
      <c r="C43">
        <v>3</v>
      </c>
      <c r="D43">
        <v>4</v>
      </c>
      <c r="E43">
        <v>3</v>
      </c>
      <c r="F43">
        <v>0.9</v>
      </c>
      <c r="G43">
        <v>0.9</v>
      </c>
      <c r="H43">
        <v>5.0000000000000001E-3</v>
      </c>
      <c r="I43">
        <v>120</v>
      </c>
      <c r="J43">
        <v>100</v>
      </c>
      <c r="K43">
        <v>4.1934930000000001</v>
      </c>
      <c r="L43">
        <v>3.431216</v>
      </c>
      <c r="M43">
        <v>120.16</v>
      </c>
      <c r="N43">
        <v>49</v>
      </c>
      <c r="O43">
        <v>51</v>
      </c>
      <c r="P43">
        <v>4.6049999999999997E-3</v>
      </c>
      <c r="Q43">
        <v>2.8955090000000001</v>
      </c>
      <c r="R43">
        <v>2.9001139999999999</v>
      </c>
      <c r="S43" t="s">
        <v>137</v>
      </c>
      <c r="T43">
        <v>1.27599</v>
      </c>
      <c r="U43">
        <v>3.7257999999999999E-2</v>
      </c>
      <c r="V43">
        <v>1.3810000000000001E-3</v>
      </c>
      <c r="W43">
        <v>1.2210000000000001E-3</v>
      </c>
      <c r="X43">
        <v>1.7388000000000001E-2</v>
      </c>
      <c r="Y43">
        <v>69.16</v>
      </c>
      <c r="Z43" t="s">
        <v>137</v>
      </c>
      <c r="AA43">
        <v>30.43</v>
      </c>
      <c r="AB43">
        <v>0.89</v>
      </c>
      <c r="AC43">
        <v>0.03</v>
      </c>
      <c r="AD43">
        <v>0.03</v>
      </c>
      <c r="AE43">
        <v>0.41</v>
      </c>
    </row>
    <row r="44" spans="1:31" x14ac:dyDescent="0.3">
      <c r="A44" t="s">
        <v>48</v>
      </c>
      <c r="B44">
        <v>4</v>
      </c>
      <c r="C44">
        <v>3</v>
      </c>
      <c r="D44">
        <v>4</v>
      </c>
      <c r="E44">
        <v>3</v>
      </c>
      <c r="F44">
        <v>0.9</v>
      </c>
      <c r="G44">
        <v>0.9</v>
      </c>
      <c r="H44">
        <v>5.0000000000000001E-3</v>
      </c>
      <c r="I44">
        <v>120</v>
      </c>
      <c r="J44">
        <v>100</v>
      </c>
      <c r="K44">
        <v>2.5666869999999999</v>
      </c>
      <c r="L44">
        <v>1.5847340000000001</v>
      </c>
      <c r="M44">
        <v>66.72</v>
      </c>
      <c r="N44">
        <v>14</v>
      </c>
      <c r="O44">
        <v>86</v>
      </c>
      <c r="P44">
        <v>4.4720000000000003E-3</v>
      </c>
      <c r="Q44">
        <v>1.918649</v>
      </c>
      <c r="R44">
        <v>1.9231210000000001</v>
      </c>
      <c r="S44" t="s">
        <v>137</v>
      </c>
      <c r="T44">
        <v>0.64148700000000003</v>
      </c>
      <c r="U44">
        <v>2.0285999999999998E-2</v>
      </c>
      <c r="V44">
        <v>1.305E-3</v>
      </c>
      <c r="W44">
        <v>6.4099999999999997E-4</v>
      </c>
      <c r="X44">
        <v>2.0790000000000001E-3</v>
      </c>
      <c r="Y44">
        <v>74.930000000000007</v>
      </c>
      <c r="Z44" t="s">
        <v>137</v>
      </c>
      <c r="AA44">
        <v>24.99</v>
      </c>
      <c r="AB44">
        <v>0.79</v>
      </c>
      <c r="AC44">
        <v>0.05</v>
      </c>
      <c r="AD44">
        <v>0.02</v>
      </c>
      <c r="AE44">
        <v>0.08</v>
      </c>
    </row>
    <row r="45" spans="1:31" x14ac:dyDescent="0.3">
      <c r="A45" t="s">
        <v>49</v>
      </c>
      <c r="B45">
        <v>4</v>
      </c>
      <c r="C45">
        <v>3</v>
      </c>
      <c r="D45">
        <v>4</v>
      </c>
      <c r="E45">
        <v>3</v>
      </c>
      <c r="F45">
        <v>0.9</v>
      </c>
      <c r="G45">
        <v>0.9</v>
      </c>
      <c r="H45">
        <v>5.0000000000000001E-3</v>
      </c>
      <c r="I45">
        <v>120</v>
      </c>
      <c r="J45">
        <v>100</v>
      </c>
      <c r="K45">
        <v>4.8915740000000003</v>
      </c>
      <c r="L45">
        <v>4.3757830000000002</v>
      </c>
      <c r="M45">
        <v>133.35</v>
      </c>
      <c r="N45">
        <v>47</v>
      </c>
      <c r="O45">
        <v>53</v>
      </c>
      <c r="P45">
        <v>4.5710000000000004E-3</v>
      </c>
      <c r="Q45">
        <v>3.2889550000000001</v>
      </c>
      <c r="R45">
        <v>3.293526</v>
      </c>
      <c r="S45" t="s">
        <v>137</v>
      </c>
      <c r="T45">
        <v>1.5721719999999999</v>
      </c>
      <c r="U45">
        <v>4.1473000000000003E-2</v>
      </c>
      <c r="V45">
        <v>1.348E-3</v>
      </c>
      <c r="W45">
        <v>1.371E-3</v>
      </c>
      <c r="X45">
        <v>2.5874999999999999E-2</v>
      </c>
      <c r="Y45">
        <v>67.33</v>
      </c>
      <c r="Z45" t="s">
        <v>137</v>
      </c>
      <c r="AA45">
        <v>32.14</v>
      </c>
      <c r="AB45">
        <v>0.85</v>
      </c>
      <c r="AC45">
        <v>0.03</v>
      </c>
      <c r="AD45">
        <v>0.03</v>
      </c>
      <c r="AE45">
        <v>0.53</v>
      </c>
    </row>
    <row r="46" spans="1:31" x14ac:dyDescent="0.3">
      <c r="A46" t="s">
        <v>50</v>
      </c>
      <c r="B46">
        <v>4</v>
      </c>
      <c r="C46">
        <v>3</v>
      </c>
      <c r="D46">
        <v>4</v>
      </c>
      <c r="E46">
        <v>3</v>
      </c>
      <c r="F46">
        <v>0.9</v>
      </c>
      <c r="G46">
        <v>0.9</v>
      </c>
      <c r="H46">
        <v>5.0000000000000001E-3</v>
      </c>
      <c r="I46">
        <v>120</v>
      </c>
      <c r="J46">
        <v>100</v>
      </c>
      <c r="K46">
        <v>2.7539250000000002</v>
      </c>
      <c r="L46">
        <v>2.2296040000000001</v>
      </c>
      <c r="M46">
        <v>76.75</v>
      </c>
      <c r="N46">
        <v>20</v>
      </c>
      <c r="O46">
        <v>80</v>
      </c>
      <c r="P46">
        <v>4.8329999999999996E-3</v>
      </c>
      <c r="Q46">
        <v>2.0131450000000002</v>
      </c>
      <c r="R46">
        <v>2.0179770000000001</v>
      </c>
      <c r="S46" t="s">
        <v>137</v>
      </c>
      <c r="T46">
        <v>0.72957300000000003</v>
      </c>
      <c r="U46">
        <v>2.4178000000000002E-2</v>
      </c>
      <c r="V46">
        <v>1.469E-3</v>
      </c>
      <c r="W46">
        <v>7.5699999999999997E-4</v>
      </c>
      <c r="X46">
        <v>6.3749999999999996E-3</v>
      </c>
      <c r="Y46">
        <v>73.28</v>
      </c>
      <c r="Z46" t="s">
        <v>137</v>
      </c>
      <c r="AA46">
        <v>26.49</v>
      </c>
      <c r="AB46">
        <v>0.88</v>
      </c>
      <c r="AC46">
        <v>0.05</v>
      </c>
      <c r="AD46">
        <v>0.03</v>
      </c>
      <c r="AE46">
        <v>0.23</v>
      </c>
    </row>
    <row r="47" spans="1:31" x14ac:dyDescent="0.3">
      <c r="A47" t="s">
        <v>51</v>
      </c>
      <c r="B47">
        <v>4</v>
      </c>
      <c r="C47">
        <v>3</v>
      </c>
      <c r="D47">
        <v>4</v>
      </c>
      <c r="E47">
        <v>3</v>
      </c>
      <c r="F47">
        <v>0.9</v>
      </c>
      <c r="G47">
        <v>0.9</v>
      </c>
      <c r="H47">
        <v>5.0000000000000001E-3</v>
      </c>
      <c r="I47">
        <v>120</v>
      </c>
      <c r="J47">
        <v>97</v>
      </c>
      <c r="K47">
        <v>14.936764999999999</v>
      </c>
      <c r="L47">
        <v>15.345062</v>
      </c>
      <c r="M47">
        <v>397.39</v>
      </c>
      <c r="N47">
        <v>79</v>
      </c>
      <c r="O47">
        <v>18</v>
      </c>
      <c r="P47">
        <v>4.4419999999999998E-3</v>
      </c>
      <c r="Q47">
        <v>7.3225720000000001</v>
      </c>
      <c r="R47">
        <v>7.3270140000000001</v>
      </c>
      <c r="S47" t="s">
        <v>137</v>
      </c>
      <c r="T47">
        <v>7.4878609999999997</v>
      </c>
      <c r="U47">
        <v>0.12529599999999999</v>
      </c>
      <c r="V47">
        <v>1.5790000000000001E-3</v>
      </c>
      <c r="W47">
        <v>3.8379999999999998E-3</v>
      </c>
      <c r="X47">
        <v>0.12189</v>
      </c>
      <c r="Y47">
        <v>49.05</v>
      </c>
      <c r="Z47" t="s">
        <v>137</v>
      </c>
      <c r="AA47">
        <v>50.13</v>
      </c>
      <c r="AB47">
        <v>0.84</v>
      </c>
      <c r="AC47">
        <v>0.01</v>
      </c>
      <c r="AD47">
        <v>0.03</v>
      </c>
      <c r="AE47">
        <v>0.82</v>
      </c>
    </row>
    <row r="48" spans="1:31" x14ac:dyDescent="0.3">
      <c r="A48" t="s">
        <v>52</v>
      </c>
      <c r="B48">
        <v>4</v>
      </c>
      <c r="C48">
        <v>3</v>
      </c>
      <c r="D48">
        <v>4</v>
      </c>
      <c r="E48">
        <v>3</v>
      </c>
      <c r="F48">
        <v>0.9</v>
      </c>
      <c r="G48">
        <v>0.9</v>
      </c>
      <c r="H48">
        <v>5.0000000000000001E-3</v>
      </c>
      <c r="I48">
        <v>120</v>
      </c>
      <c r="J48">
        <v>100</v>
      </c>
      <c r="K48">
        <v>3.0620699999999998</v>
      </c>
      <c r="L48">
        <v>2.4985490000000001</v>
      </c>
      <c r="M48">
        <v>80.290000000000006</v>
      </c>
      <c r="N48">
        <v>22</v>
      </c>
      <c r="O48">
        <v>78</v>
      </c>
      <c r="P48">
        <v>4.4099999999999999E-3</v>
      </c>
      <c r="Q48">
        <v>2.217139</v>
      </c>
      <c r="R48">
        <v>2.221549</v>
      </c>
      <c r="S48" t="s">
        <v>137</v>
      </c>
      <c r="T48">
        <v>0.83618899999999996</v>
      </c>
      <c r="U48">
        <v>2.4514000000000001E-2</v>
      </c>
      <c r="V48">
        <v>1.3259999999999999E-3</v>
      </c>
      <c r="W48">
        <v>7.7899999999999996E-4</v>
      </c>
      <c r="X48">
        <v>4.3319999999999999E-3</v>
      </c>
      <c r="Y48">
        <v>72.55</v>
      </c>
      <c r="Z48" t="s">
        <v>137</v>
      </c>
      <c r="AA48">
        <v>27.31</v>
      </c>
      <c r="AB48">
        <v>0.8</v>
      </c>
      <c r="AC48">
        <v>0.04</v>
      </c>
      <c r="AD48">
        <v>0.03</v>
      </c>
      <c r="AE48">
        <v>0.14000000000000001</v>
      </c>
    </row>
    <row r="49" spans="1:31" x14ac:dyDescent="0.3">
      <c r="A49" t="s">
        <v>53</v>
      </c>
      <c r="B49">
        <v>4</v>
      </c>
      <c r="C49">
        <v>3</v>
      </c>
      <c r="D49">
        <v>4</v>
      </c>
      <c r="E49">
        <v>3</v>
      </c>
      <c r="F49">
        <v>0.9</v>
      </c>
      <c r="G49">
        <v>0.9</v>
      </c>
      <c r="H49">
        <v>5.0000000000000001E-3</v>
      </c>
      <c r="I49">
        <v>120</v>
      </c>
      <c r="J49">
        <v>100</v>
      </c>
      <c r="K49">
        <v>2.5244589999999998</v>
      </c>
      <c r="L49">
        <v>1.874047</v>
      </c>
      <c r="M49">
        <v>64.959999999999994</v>
      </c>
      <c r="N49">
        <v>13</v>
      </c>
      <c r="O49">
        <v>87</v>
      </c>
      <c r="P49">
        <v>4.4070000000000003E-3</v>
      </c>
      <c r="Q49">
        <v>1.8781509999999999</v>
      </c>
      <c r="R49">
        <v>1.8825590000000001</v>
      </c>
      <c r="S49" t="s">
        <v>137</v>
      </c>
      <c r="T49">
        <v>0.638575</v>
      </c>
      <c r="U49">
        <v>1.9668999999999999E-2</v>
      </c>
      <c r="V49">
        <v>1.281E-3</v>
      </c>
      <c r="W49">
        <v>5.9800000000000001E-4</v>
      </c>
      <c r="X49">
        <v>3.326E-3</v>
      </c>
      <c r="Y49">
        <v>74.569999999999993</v>
      </c>
      <c r="Z49" t="s">
        <v>137</v>
      </c>
      <c r="AA49">
        <v>25.3</v>
      </c>
      <c r="AB49">
        <v>0.78</v>
      </c>
      <c r="AC49">
        <v>0.05</v>
      </c>
      <c r="AD49">
        <v>0.02</v>
      </c>
      <c r="AE49">
        <v>0.13</v>
      </c>
    </row>
    <row r="50" spans="1:31" x14ac:dyDescent="0.3">
      <c r="A50" t="s">
        <v>54</v>
      </c>
      <c r="B50">
        <v>4</v>
      </c>
      <c r="C50">
        <v>3</v>
      </c>
      <c r="D50">
        <v>4</v>
      </c>
      <c r="E50">
        <v>3</v>
      </c>
      <c r="F50">
        <v>0.9</v>
      </c>
      <c r="G50">
        <v>0.9</v>
      </c>
      <c r="H50">
        <v>5.0000000000000001E-3</v>
      </c>
      <c r="I50">
        <v>120</v>
      </c>
      <c r="J50">
        <v>100</v>
      </c>
      <c r="K50">
        <v>2.9767389999999998</v>
      </c>
      <c r="L50">
        <v>1.951776</v>
      </c>
      <c r="M50">
        <v>77.45</v>
      </c>
      <c r="N50">
        <v>25</v>
      </c>
      <c r="O50">
        <v>75</v>
      </c>
      <c r="P50">
        <v>4.4900000000000001E-3</v>
      </c>
      <c r="Q50">
        <v>2.1887729999999999</v>
      </c>
      <c r="R50">
        <v>2.193263</v>
      </c>
      <c r="S50" t="s">
        <v>137</v>
      </c>
      <c r="T50">
        <v>0.77896100000000001</v>
      </c>
      <c r="U50">
        <v>2.3781E-2</v>
      </c>
      <c r="V50">
        <v>1.2520000000000001E-3</v>
      </c>
      <c r="W50">
        <v>7.4100000000000001E-4</v>
      </c>
      <c r="X50">
        <v>4.5149999999999999E-3</v>
      </c>
      <c r="Y50">
        <v>73.680000000000007</v>
      </c>
      <c r="Z50" t="s">
        <v>137</v>
      </c>
      <c r="AA50">
        <v>26.17</v>
      </c>
      <c r="AB50">
        <v>0.8</v>
      </c>
      <c r="AC50">
        <v>0.04</v>
      </c>
      <c r="AD50">
        <v>0.02</v>
      </c>
      <c r="AE50">
        <v>0.15</v>
      </c>
    </row>
    <row r="51" spans="1:31" x14ac:dyDescent="0.3">
      <c r="A51" t="s">
        <v>55</v>
      </c>
      <c r="B51">
        <v>4</v>
      </c>
      <c r="C51">
        <v>3</v>
      </c>
      <c r="D51">
        <v>4</v>
      </c>
      <c r="E51">
        <v>3</v>
      </c>
      <c r="F51">
        <v>0.9</v>
      </c>
      <c r="G51">
        <v>0.9</v>
      </c>
      <c r="H51">
        <v>5.0000000000000001E-3</v>
      </c>
      <c r="I51">
        <v>120</v>
      </c>
      <c r="J51">
        <v>100</v>
      </c>
      <c r="K51">
        <v>3.315429</v>
      </c>
      <c r="L51">
        <v>2.6694650000000002</v>
      </c>
      <c r="M51">
        <v>94.55</v>
      </c>
      <c r="N51">
        <v>35</v>
      </c>
      <c r="O51">
        <v>65</v>
      </c>
      <c r="P51">
        <v>4.4809999999999997E-3</v>
      </c>
      <c r="Q51">
        <v>2.3624520000000002</v>
      </c>
      <c r="R51">
        <v>2.3669340000000001</v>
      </c>
      <c r="S51" t="s">
        <v>137</v>
      </c>
      <c r="T51">
        <v>0.93506</v>
      </c>
      <c r="U51">
        <v>2.9028999999999999E-2</v>
      </c>
      <c r="V51">
        <v>1.3600000000000001E-3</v>
      </c>
      <c r="W51">
        <v>9.3499999999999996E-4</v>
      </c>
      <c r="X51">
        <v>1.3436E-2</v>
      </c>
      <c r="Y51">
        <v>71.39</v>
      </c>
      <c r="Z51" t="s">
        <v>137</v>
      </c>
      <c r="AA51">
        <v>28.2</v>
      </c>
      <c r="AB51">
        <v>0.88</v>
      </c>
      <c r="AC51">
        <v>0.04</v>
      </c>
      <c r="AD51">
        <v>0.03</v>
      </c>
      <c r="AE51">
        <v>0.41</v>
      </c>
    </row>
    <row r="52" spans="1:31" x14ac:dyDescent="0.3">
      <c r="A52" t="s">
        <v>56</v>
      </c>
      <c r="B52">
        <v>4</v>
      </c>
      <c r="C52">
        <v>3</v>
      </c>
      <c r="D52">
        <v>4</v>
      </c>
      <c r="E52">
        <v>3</v>
      </c>
      <c r="F52">
        <v>0.9</v>
      </c>
      <c r="G52">
        <v>0.9</v>
      </c>
      <c r="H52">
        <v>5.0000000000000001E-3</v>
      </c>
      <c r="I52">
        <v>120</v>
      </c>
      <c r="J52">
        <v>100</v>
      </c>
      <c r="K52">
        <v>3.0644110000000002</v>
      </c>
      <c r="L52">
        <v>2.0066440000000001</v>
      </c>
      <c r="M52">
        <v>79.61</v>
      </c>
      <c r="N52">
        <v>28</v>
      </c>
      <c r="O52">
        <v>72</v>
      </c>
      <c r="P52">
        <v>4.333E-3</v>
      </c>
      <c r="Q52">
        <v>2.2439260000000001</v>
      </c>
      <c r="R52">
        <v>2.248259</v>
      </c>
      <c r="S52" t="s">
        <v>137</v>
      </c>
      <c r="T52">
        <v>0.81114699999999995</v>
      </c>
      <c r="U52">
        <v>2.4223000000000001E-2</v>
      </c>
      <c r="V52">
        <v>1.4369999999999999E-3</v>
      </c>
      <c r="W52">
        <v>7.8899999999999999E-4</v>
      </c>
      <c r="X52">
        <v>5.0049999999999999E-3</v>
      </c>
      <c r="Y52">
        <v>73.37</v>
      </c>
      <c r="Z52" t="s">
        <v>137</v>
      </c>
      <c r="AA52">
        <v>26.47</v>
      </c>
      <c r="AB52">
        <v>0.79</v>
      </c>
      <c r="AC52">
        <v>0.05</v>
      </c>
      <c r="AD52">
        <v>0.03</v>
      </c>
      <c r="AE52">
        <v>0.16</v>
      </c>
    </row>
    <row r="53" spans="1:31" x14ac:dyDescent="0.3">
      <c r="A53" t="s">
        <v>57</v>
      </c>
      <c r="B53">
        <v>4</v>
      </c>
      <c r="C53">
        <v>3</v>
      </c>
      <c r="D53">
        <v>4</v>
      </c>
      <c r="E53">
        <v>3</v>
      </c>
      <c r="F53">
        <v>0.9</v>
      </c>
      <c r="G53">
        <v>0.9</v>
      </c>
      <c r="H53">
        <v>5.0000000000000001E-3</v>
      </c>
      <c r="I53">
        <v>120</v>
      </c>
      <c r="J53">
        <v>100</v>
      </c>
      <c r="K53">
        <v>2.8295430000000001</v>
      </c>
      <c r="L53">
        <v>1.952688</v>
      </c>
      <c r="M53">
        <v>71.33</v>
      </c>
      <c r="N53">
        <v>24</v>
      </c>
      <c r="O53">
        <v>76</v>
      </c>
      <c r="P53">
        <v>4.4159999999999998E-3</v>
      </c>
      <c r="Q53">
        <v>2.0813920000000001</v>
      </c>
      <c r="R53">
        <v>2.0858080000000001</v>
      </c>
      <c r="S53" t="s">
        <v>137</v>
      </c>
      <c r="T53">
        <v>0.73685400000000001</v>
      </c>
      <c r="U53">
        <v>2.1739999999999999E-2</v>
      </c>
      <c r="V53">
        <v>1.3190000000000001E-3</v>
      </c>
      <c r="W53">
        <v>7.7399999999999995E-4</v>
      </c>
      <c r="X53">
        <v>6.8820000000000001E-3</v>
      </c>
      <c r="Y53">
        <v>73.72</v>
      </c>
      <c r="Z53" t="s">
        <v>137</v>
      </c>
      <c r="AA53">
        <v>26.04</v>
      </c>
      <c r="AB53">
        <v>0.77</v>
      </c>
      <c r="AC53">
        <v>0.05</v>
      </c>
      <c r="AD53">
        <v>0.03</v>
      </c>
      <c r="AE53">
        <v>0.24</v>
      </c>
    </row>
    <row r="54" spans="1:31" x14ac:dyDescent="0.3">
      <c r="A54" t="s">
        <v>58</v>
      </c>
      <c r="B54">
        <v>4</v>
      </c>
      <c r="C54">
        <v>3</v>
      </c>
      <c r="D54">
        <v>4</v>
      </c>
      <c r="E54">
        <v>3</v>
      </c>
      <c r="F54">
        <v>0.9</v>
      </c>
      <c r="G54">
        <v>0.9</v>
      </c>
      <c r="H54">
        <v>5.0000000000000001E-3</v>
      </c>
      <c r="I54">
        <v>120</v>
      </c>
      <c r="J54">
        <v>100</v>
      </c>
      <c r="K54">
        <v>5.9792139999999998</v>
      </c>
      <c r="L54">
        <v>3.9609839999999998</v>
      </c>
      <c r="M54">
        <v>154.94999999999999</v>
      </c>
      <c r="N54">
        <v>63</v>
      </c>
      <c r="O54">
        <v>37</v>
      </c>
      <c r="P54">
        <v>4.424E-3</v>
      </c>
      <c r="Q54">
        <v>4.0618689999999997</v>
      </c>
      <c r="R54">
        <v>4.0662940000000001</v>
      </c>
      <c r="S54" t="s">
        <v>137</v>
      </c>
      <c r="T54">
        <v>1.88608</v>
      </c>
      <c r="U54">
        <v>4.8335000000000003E-2</v>
      </c>
      <c r="V54">
        <v>1.39E-3</v>
      </c>
      <c r="W54">
        <v>1.5759999999999999E-3</v>
      </c>
      <c r="X54">
        <v>2.6839999999999999E-2</v>
      </c>
      <c r="Y54">
        <v>68.010000000000005</v>
      </c>
      <c r="Z54" t="s">
        <v>137</v>
      </c>
      <c r="AA54">
        <v>31.54</v>
      </c>
      <c r="AB54">
        <v>0.81</v>
      </c>
      <c r="AC54">
        <v>0.02</v>
      </c>
      <c r="AD54">
        <v>0.03</v>
      </c>
      <c r="AE54">
        <v>0.45</v>
      </c>
    </row>
    <row r="55" spans="1:31" x14ac:dyDescent="0.3">
      <c r="A55" t="s">
        <v>59</v>
      </c>
      <c r="B55">
        <v>4</v>
      </c>
      <c r="C55">
        <v>3</v>
      </c>
      <c r="D55">
        <v>4</v>
      </c>
      <c r="E55">
        <v>3</v>
      </c>
      <c r="F55">
        <v>0.9</v>
      </c>
      <c r="G55">
        <v>0.9</v>
      </c>
      <c r="H55">
        <v>5.0000000000000001E-3</v>
      </c>
      <c r="I55">
        <v>120</v>
      </c>
      <c r="J55">
        <v>100</v>
      </c>
      <c r="K55">
        <v>1.24447</v>
      </c>
      <c r="L55">
        <v>0.82835499999999995</v>
      </c>
      <c r="M55">
        <v>33.93</v>
      </c>
      <c r="N55">
        <v>1</v>
      </c>
      <c r="O55">
        <v>99</v>
      </c>
      <c r="P55">
        <v>4.4739999999999997E-3</v>
      </c>
      <c r="Q55">
        <v>0.94213000000000002</v>
      </c>
      <c r="R55">
        <v>0.946604</v>
      </c>
      <c r="S55" t="s">
        <v>137</v>
      </c>
      <c r="T55">
        <v>0.29750199999999999</v>
      </c>
      <c r="U55">
        <v>9.887E-3</v>
      </c>
      <c r="V55">
        <v>1.2199999999999999E-3</v>
      </c>
      <c r="W55">
        <v>3.1199999999999999E-4</v>
      </c>
      <c r="X55">
        <v>3.6499999999999998E-4</v>
      </c>
      <c r="Y55">
        <v>76.06</v>
      </c>
      <c r="Z55" t="s">
        <v>137</v>
      </c>
      <c r="AA55">
        <v>23.91</v>
      </c>
      <c r="AB55">
        <v>0.79</v>
      </c>
      <c r="AC55">
        <v>0.1</v>
      </c>
      <c r="AD55">
        <v>0.03</v>
      </c>
      <c r="AE55">
        <v>0.03</v>
      </c>
    </row>
    <row r="56" spans="1:31" x14ac:dyDescent="0.3">
      <c r="A56" t="s">
        <v>60</v>
      </c>
      <c r="B56">
        <v>4</v>
      </c>
      <c r="C56">
        <v>3</v>
      </c>
      <c r="D56">
        <v>4</v>
      </c>
      <c r="E56">
        <v>3</v>
      </c>
      <c r="F56">
        <v>0.9</v>
      </c>
      <c r="G56">
        <v>0.9</v>
      </c>
      <c r="H56">
        <v>5.0000000000000001E-3</v>
      </c>
      <c r="I56">
        <v>120</v>
      </c>
      <c r="J56">
        <v>100</v>
      </c>
      <c r="K56">
        <v>1.9415990000000001</v>
      </c>
      <c r="L56">
        <v>1.4198839999999999</v>
      </c>
      <c r="M56">
        <v>50.53</v>
      </c>
      <c r="N56">
        <v>8</v>
      </c>
      <c r="O56">
        <v>92</v>
      </c>
      <c r="P56">
        <v>4.4010000000000004E-3</v>
      </c>
      <c r="Q56">
        <v>1.4535830000000001</v>
      </c>
      <c r="R56">
        <v>1.4579839999999999</v>
      </c>
      <c r="S56" t="s">
        <v>137</v>
      </c>
      <c r="T56">
        <v>0.47950900000000002</v>
      </c>
      <c r="U56">
        <v>1.5134999999999999E-2</v>
      </c>
      <c r="V56">
        <v>1.2520000000000001E-3</v>
      </c>
      <c r="W56">
        <v>5.1999999999999995E-4</v>
      </c>
      <c r="X56">
        <v>4.1060000000000003E-3</v>
      </c>
      <c r="Y56">
        <v>75.09</v>
      </c>
      <c r="Z56" t="s">
        <v>137</v>
      </c>
      <c r="AA56">
        <v>24.7</v>
      </c>
      <c r="AB56">
        <v>0.78</v>
      </c>
      <c r="AC56">
        <v>0.06</v>
      </c>
      <c r="AD56">
        <v>0.03</v>
      </c>
      <c r="AE56">
        <v>0.21</v>
      </c>
    </row>
    <row r="57" spans="1:31" x14ac:dyDescent="0.3">
      <c r="A57" t="s">
        <v>61</v>
      </c>
      <c r="B57">
        <v>4</v>
      </c>
      <c r="C57">
        <v>3</v>
      </c>
      <c r="D57">
        <v>4</v>
      </c>
      <c r="E57">
        <v>3</v>
      </c>
      <c r="F57">
        <v>0.9</v>
      </c>
      <c r="G57">
        <v>0.9</v>
      </c>
      <c r="H57">
        <v>5.0000000000000001E-3</v>
      </c>
      <c r="I57">
        <v>120</v>
      </c>
      <c r="J57">
        <v>100</v>
      </c>
      <c r="K57">
        <v>1.8124</v>
      </c>
      <c r="L57">
        <v>0.99265999999999999</v>
      </c>
      <c r="M57">
        <v>48.96</v>
      </c>
      <c r="N57">
        <v>6</v>
      </c>
      <c r="O57">
        <v>94</v>
      </c>
      <c r="P57">
        <v>4.529E-3</v>
      </c>
      <c r="Q57">
        <v>1.3764529999999999</v>
      </c>
      <c r="R57">
        <v>1.380981</v>
      </c>
      <c r="S57" t="s">
        <v>137</v>
      </c>
      <c r="T57">
        <v>0.43017699999999998</v>
      </c>
      <c r="U57">
        <v>1.4707E-2</v>
      </c>
      <c r="V57">
        <v>1.1919999999999999E-3</v>
      </c>
      <c r="W57">
        <v>4.5899999999999999E-4</v>
      </c>
      <c r="X57">
        <v>1.242E-3</v>
      </c>
      <c r="Y57">
        <v>76.2</v>
      </c>
      <c r="Z57" t="s">
        <v>137</v>
      </c>
      <c r="AA57">
        <v>23.74</v>
      </c>
      <c r="AB57">
        <v>0.81</v>
      </c>
      <c r="AC57">
        <v>7.0000000000000007E-2</v>
      </c>
      <c r="AD57">
        <v>0.03</v>
      </c>
      <c r="AE57">
        <v>7.0000000000000007E-2</v>
      </c>
    </row>
    <row r="58" spans="1:31" x14ac:dyDescent="0.3">
      <c r="A58" t="s">
        <v>62</v>
      </c>
      <c r="B58">
        <v>4</v>
      </c>
      <c r="C58">
        <v>3</v>
      </c>
      <c r="D58">
        <v>4</v>
      </c>
      <c r="E58">
        <v>3</v>
      </c>
      <c r="F58">
        <v>0.9</v>
      </c>
      <c r="G58">
        <v>0.9</v>
      </c>
      <c r="H58">
        <v>5.0000000000000001E-3</v>
      </c>
      <c r="I58">
        <v>120</v>
      </c>
      <c r="J58">
        <v>99</v>
      </c>
      <c r="K58">
        <v>11.79331</v>
      </c>
      <c r="L58">
        <v>12.899556</v>
      </c>
      <c r="M58">
        <v>305.76</v>
      </c>
      <c r="N58">
        <v>80</v>
      </c>
      <c r="O58">
        <v>19</v>
      </c>
      <c r="P58">
        <v>4.3769999999999998E-3</v>
      </c>
      <c r="Q58">
        <v>6.459365</v>
      </c>
      <c r="R58">
        <v>6.4637419999999999</v>
      </c>
      <c r="S58" t="s">
        <v>137</v>
      </c>
      <c r="T58">
        <v>5.2392139999999996</v>
      </c>
      <c r="U58">
        <v>9.6368999999999996E-2</v>
      </c>
      <c r="V58">
        <v>1.413E-3</v>
      </c>
      <c r="W58">
        <v>3.0620000000000001E-3</v>
      </c>
      <c r="X58">
        <v>9.0354000000000004E-2</v>
      </c>
      <c r="Y58">
        <v>54.81</v>
      </c>
      <c r="Z58" t="s">
        <v>137</v>
      </c>
      <c r="AA58">
        <v>44.43</v>
      </c>
      <c r="AB58">
        <v>0.82</v>
      </c>
      <c r="AC58">
        <v>0.01</v>
      </c>
      <c r="AD58">
        <v>0.03</v>
      </c>
      <c r="AE58">
        <v>0.77</v>
      </c>
    </row>
    <row r="59" spans="1:31" x14ac:dyDescent="0.3">
      <c r="A59" t="s">
        <v>63</v>
      </c>
      <c r="B59">
        <v>4</v>
      </c>
      <c r="C59">
        <v>3</v>
      </c>
      <c r="D59">
        <v>4</v>
      </c>
      <c r="E59">
        <v>3</v>
      </c>
      <c r="F59">
        <v>0.9</v>
      </c>
      <c r="G59">
        <v>0.9</v>
      </c>
      <c r="H59">
        <v>5.0000000000000001E-3</v>
      </c>
      <c r="I59">
        <v>120</v>
      </c>
      <c r="J59">
        <v>100</v>
      </c>
      <c r="K59">
        <v>2.2576740000000002</v>
      </c>
      <c r="L59">
        <v>1.42188</v>
      </c>
      <c r="M59">
        <v>56.96</v>
      </c>
      <c r="N59">
        <v>13</v>
      </c>
      <c r="O59">
        <v>87</v>
      </c>
      <c r="P59">
        <v>4.6059999999999999E-3</v>
      </c>
      <c r="Q59">
        <v>1.688334</v>
      </c>
      <c r="R59">
        <v>1.6929399999999999</v>
      </c>
      <c r="S59" t="s">
        <v>137</v>
      </c>
      <c r="T59">
        <v>0.56049700000000002</v>
      </c>
      <c r="U59">
        <v>1.7974E-2</v>
      </c>
      <c r="V59">
        <v>1.31E-3</v>
      </c>
      <c r="W59">
        <v>5.7700000000000004E-4</v>
      </c>
      <c r="X59">
        <v>4.2379999999999996E-3</v>
      </c>
      <c r="Y59">
        <v>74.989999999999995</v>
      </c>
      <c r="Z59" t="s">
        <v>137</v>
      </c>
      <c r="AA59">
        <v>24.83</v>
      </c>
      <c r="AB59">
        <v>0.8</v>
      </c>
      <c r="AC59">
        <v>0.06</v>
      </c>
      <c r="AD59">
        <v>0.03</v>
      </c>
      <c r="AE59">
        <v>0.19</v>
      </c>
    </row>
    <row r="60" spans="1:31" x14ac:dyDescent="0.3">
      <c r="A60" t="s">
        <v>64</v>
      </c>
      <c r="B60">
        <v>4</v>
      </c>
      <c r="C60">
        <v>3</v>
      </c>
      <c r="D60">
        <v>4</v>
      </c>
      <c r="E60">
        <v>3</v>
      </c>
      <c r="F60">
        <v>0.9</v>
      </c>
      <c r="G60">
        <v>0.9</v>
      </c>
      <c r="H60">
        <v>5.0000000000000001E-3</v>
      </c>
      <c r="I60">
        <v>120</v>
      </c>
      <c r="J60">
        <v>100</v>
      </c>
      <c r="K60">
        <v>4.6571829999999999</v>
      </c>
      <c r="L60">
        <v>3.7023609999999998</v>
      </c>
      <c r="M60">
        <v>129.81</v>
      </c>
      <c r="N60">
        <v>53</v>
      </c>
      <c r="O60">
        <v>47</v>
      </c>
      <c r="P60">
        <v>4.4450000000000002E-3</v>
      </c>
      <c r="Q60">
        <v>3.1956380000000002</v>
      </c>
      <c r="R60">
        <v>3.2000829999999998</v>
      </c>
      <c r="S60" t="s">
        <v>137</v>
      </c>
      <c r="T60">
        <v>1.434483</v>
      </c>
      <c r="U60">
        <v>4.0294999999999997E-2</v>
      </c>
      <c r="V60">
        <v>1.392E-3</v>
      </c>
      <c r="W60">
        <v>1.2930000000000001E-3</v>
      </c>
      <c r="X60">
        <v>2.2617000000000002E-2</v>
      </c>
      <c r="Y60">
        <v>68.709999999999994</v>
      </c>
      <c r="Z60" t="s">
        <v>137</v>
      </c>
      <c r="AA60">
        <v>30.8</v>
      </c>
      <c r="AB60">
        <v>0.87</v>
      </c>
      <c r="AC60">
        <v>0.03</v>
      </c>
      <c r="AD60">
        <v>0.03</v>
      </c>
      <c r="AE60">
        <v>0.49</v>
      </c>
    </row>
    <row r="61" spans="1:31" x14ac:dyDescent="0.3">
      <c r="A61" t="s">
        <v>65</v>
      </c>
      <c r="B61">
        <v>4</v>
      </c>
      <c r="C61">
        <v>3</v>
      </c>
      <c r="D61">
        <v>4</v>
      </c>
      <c r="E61">
        <v>3</v>
      </c>
      <c r="F61">
        <v>0.9</v>
      </c>
      <c r="G61">
        <v>0.9</v>
      </c>
      <c r="H61">
        <v>5.0000000000000001E-3</v>
      </c>
      <c r="I61">
        <v>120</v>
      </c>
      <c r="J61">
        <v>100</v>
      </c>
      <c r="K61">
        <v>1.417759</v>
      </c>
      <c r="L61">
        <v>0.86545700000000003</v>
      </c>
      <c r="M61">
        <v>37.450000000000003</v>
      </c>
      <c r="N61">
        <v>2</v>
      </c>
      <c r="O61">
        <v>98</v>
      </c>
      <c r="P61">
        <v>4.424E-3</v>
      </c>
      <c r="Q61">
        <v>1.0736540000000001</v>
      </c>
      <c r="R61">
        <v>1.0780780000000001</v>
      </c>
      <c r="S61" t="s">
        <v>137</v>
      </c>
      <c r="T61">
        <v>0.339088</v>
      </c>
      <c r="U61">
        <v>1.0928E-2</v>
      </c>
      <c r="V61">
        <v>1.299E-3</v>
      </c>
      <c r="W61">
        <v>3.5199999999999999E-4</v>
      </c>
      <c r="X61">
        <v>5.9299999999999999E-4</v>
      </c>
      <c r="Y61">
        <v>76.040000000000006</v>
      </c>
      <c r="Z61" t="s">
        <v>137</v>
      </c>
      <c r="AA61">
        <v>23.92</v>
      </c>
      <c r="AB61">
        <v>0.77</v>
      </c>
      <c r="AC61">
        <v>0.09</v>
      </c>
      <c r="AD61">
        <v>0.02</v>
      </c>
      <c r="AE61">
        <v>0.04</v>
      </c>
    </row>
    <row r="62" spans="1:31" x14ac:dyDescent="0.3">
      <c r="A62" t="s">
        <v>66</v>
      </c>
      <c r="B62">
        <v>4</v>
      </c>
      <c r="C62">
        <v>3</v>
      </c>
      <c r="D62">
        <v>4</v>
      </c>
      <c r="E62">
        <v>3</v>
      </c>
      <c r="F62">
        <v>0.9</v>
      </c>
      <c r="G62">
        <v>0.9</v>
      </c>
      <c r="H62">
        <v>5.0000000000000001E-3</v>
      </c>
      <c r="I62">
        <v>120</v>
      </c>
      <c r="J62">
        <v>100</v>
      </c>
      <c r="K62">
        <v>2.4145569999999998</v>
      </c>
      <c r="L62">
        <v>1.7405619999999999</v>
      </c>
      <c r="M62">
        <v>66.22</v>
      </c>
      <c r="N62">
        <v>22</v>
      </c>
      <c r="O62">
        <v>78</v>
      </c>
      <c r="P62">
        <v>4.548E-3</v>
      </c>
      <c r="Q62">
        <v>1.782195</v>
      </c>
      <c r="R62">
        <v>1.7867420000000001</v>
      </c>
      <c r="S62" t="s">
        <v>137</v>
      </c>
      <c r="T62">
        <v>0.62371399999999999</v>
      </c>
      <c r="U62">
        <v>2.0070999999999999E-2</v>
      </c>
      <c r="V62">
        <v>1.3489999999999999E-3</v>
      </c>
      <c r="W62">
        <v>6.2299999999999996E-4</v>
      </c>
      <c r="X62">
        <v>4.1009999999999996E-3</v>
      </c>
      <c r="Y62">
        <v>74</v>
      </c>
      <c r="Z62" t="s">
        <v>137</v>
      </c>
      <c r="AA62">
        <v>25.83</v>
      </c>
      <c r="AB62">
        <v>0.83</v>
      </c>
      <c r="AC62">
        <v>0.06</v>
      </c>
      <c r="AD62">
        <v>0.03</v>
      </c>
      <c r="AE62">
        <v>0.17</v>
      </c>
    </row>
    <row r="63" spans="1:31" x14ac:dyDescent="0.3">
      <c r="A63" t="s">
        <v>67</v>
      </c>
      <c r="B63">
        <v>4</v>
      </c>
      <c r="C63">
        <v>3</v>
      </c>
      <c r="D63">
        <v>4</v>
      </c>
      <c r="E63">
        <v>3</v>
      </c>
      <c r="F63">
        <v>0.9</v>
      </c>
      <c r="G63">
        <v>0.9</v>
      </c>
      <c r="H63">
        <v>5.0000000000000001E-3</v>
      </c>
      <c r="I63">
        <v>120</v>
      </c>
      <c r="J63">
        <v>100</v>
      </c>
      <c r="K63">
        <v>4.5496119999999998</v>
      </c>
      <c r="L63">
        <v>3.3723550000000002</v>
      </c>
      <c r="M63">
        <v>121.75</v>
      </c>
      <c r="N63">
        <v>47</v>
      </c>
      <c r="O63">
        <v>53</v>
      </c>
      <c r="P63">
        <v>4.4590000000000003E-3</v>
      </c>
      <c r="Q63">
        <v>3.1457359999999999</v>
      </c>
      <c r="R63">
        <v>3.1501950000000001</v>
      </c>
      <c r="S63" t="s">
        <v>137</v>
      </c>
      <c r="T63">
        <v>1.3840079999999999</v>
      </c>
      <c r="U63">
        <v>3.7698000000000002E-2</v>
      </c>
      <c r="V63">
        <v>1.341E-3</v>
      </c>
      <c r="W63">
        <v>1.142E-3</v>
      </c>
      <c r="X63">
        <v>1.5409000000000001E-2</v>
      </c>
      <c r="Y63">
        <v>69.239999999999995</v>
      </c>
      <c r="Z63" t="s">
        <v>137</v>
      </c>
      <c r="AA63">
        <v>30.42</v>
      </c>
      <c r="AB63">
        <v>0.83</v>
      </c>
      <c r="AC63">
        <v>0.03</v>
      </c>
      <c r="AD63">
        <v>0.03</v>
      </c>
      <c r="AE63">
        <v>0.34</v>
      </c>
    </row>
    <row r="64" spans="1:31" x14ac:dyDescent="0.3">
      <c r="A64" t="s">
        <v>68</v>
      </c>
      <c r="B64">
        <v>4</v>
      </c>
      <c r="C64">
        <v>3</v>
      </c>
      <c r="D64">
        <v>4</v>
      </c>
      <c r="E64">
        <v>3</v>
      </c>
      <c r="F64">
        <v>0.9</v>
      </c>
      <c r="G64">
        <v>0.9</v>
      </c>
      <c r="H64">
        <v>5.0000000000000001E-3</v>
      </c>
      <c r="I64">
        <v>120</v>
      </c>
      <c r="J64">
        <v>100</v>
      </c>
      <c r="K64">
        <v>4.5288779999999997</v>
      </c>
      <c r="L64">
        <v>3.0511349999999999</v>
      </c>
      <c r="M64">
        <v>114.28</v>
      </c>
      <c r="N64">
        <v>48</v>
      </c>
      <c r="O64">
        <v>52</v>
      </c>
      <c r="P64">
        <v>4.3990000000000001E-3</v>
      </c>
      <c r="Q64">
        <v>3.1941269999999999</v>
      </c>
      <c r="R64">
        <v>3.1985260000000002</v>
      </c>
      <c r="S64" t="s">
        <v>137</v>
      </c>
      <c r="T64">
        <v>1.317634</v>
      </c>
      <c r="U64">
        <v>3.5255000000000002E-2</v>
      </c>
      <c r="V64">
        <v>1.317E-3</v>
      </c>
      <c r="W64">
        <v>1.14E-3</v>
      </c>
      <c r="X64">
        <v>1.2716999999999999E-2</v>
      </c>
      <c r="Y64">
        <v>70.63</v>
      </c>
      <c r="Z64" t="s">
        <v>137</v>
      </c>
      <c r="AA64">
        <v>29.09</v>
      </c>
      <c r="AB64">
        <v>0.78</v>
      </c>
      <c r="AC64">
        <v>0.03</v>
      </c>
      <c r="AD64">
        <v>0.03</v>
      </c>
      <c r="AE64">
        <v>0.28000000000000003</v>
      </c>
    </row>
    <row r="65" spans="1:31" x14ac:dyDescent="0.3">
      <c r="A65" t="s">
        <v>69</v>
      </c>
      <c r="B65">
        <v>4</v>
      </c>
      <c r="C65">
        <v>3</v>
      </c>
      <c r="D65">
        <v>4</v>
      </c>
      <c r="E65">
        <v>3</v>
      </c>
      <c r="F65">
        <v>0.9</v>
      </c>
      <c r="G65">
        <v>0.9</v>
      </c>
      <c r="H65">
        <v>5.0000000000000001E-3</v>
      </c>
      <c r="I65">
        <v>120</v>
      </c>
      <c r="J65">
        <v>100</v>
      </c>
      <c r="K65">
        <v>2.1525780000000001</v>
      </c>
      <c r="L65">
        <v>1.4697849999999999</v>
      </c>
      <c r="M65">
        <v>56.89</v>
      </c>
      <c r="N65">
        <v>15</v>
      </c>
      <c r="O65">
        <v>85</v>
      </c>
      <c r="P65">
        <v>4.339E-3</v>
      </c>
      <c r="Q65">
        <v>1.6049610000000001</v>
      </c>
      <c r="R65">
        <v>1.6093</v>
      </c>
      <c r="S65" t="s">
        <v>137</v>
      </c>
      <c r="T65">
        <v>0.53951400000000005</v>
      </c>
      <c r="U65">
        <v>1.704E-2</v>
      </c>
      <c r="V65">
        <v>1.304E-3</v>
      </c>
      <c r="W65">
        <v>5.1999999999999995E-4</v>
      </c>
      <c r="X65">
        <v>3.7629999999999999E-3</v>
      </c>
      <c r="Y65">
        <v>74.760000000000005</v>
      </c>
      <c r="Z65" t="s">
        <v>137</v>
      </c>
      <c r="AA65">
        <v>25.06</v>
      </c>
      <c r="AB65">
        <v>0.79</v>
      </c>
      <c r="AC65">
        <v>0.06</v>
      </c>
      <c r="AD65">
        <v>0.02</v>
      </c>
      <c r="AE65">
        <v>0.17</v>
      </c>
    </row>
    <row r="66" spans="1:31" x14ac:dyDescent="0.3">
      <c r="A66" t="s">
        <v>70</v>
      </c>
      <c r="B66">
        <v>4</v>
      </c>
      <c r="C66">
        <v>3</v>
      </c>
      <c r="D66">
        <v>4</v>
      </c>
      <c r="E66">
        <v>3</v>
      </c>
      <c r="F66">
        <v>0.9</v>
      </c>
      <c r="G66">
        <v>0.9</v>
      </c>
      <c r="H66">
        <v>5.0000000000000001E-3</v>
      </c>
      <c r="I66">
        <v>120</v>
      </c>
      <c r="J66">
        <v>100</v>
      </c>
      <c r="K66">
        <v>1.4770540000000001</v>
      </c>
      <c r="L66">
        <v>0.88858700000000002</v>
      </c>
      <c r="M66">
        <v>41.37</v>
      </c>
      <c r="N66">
        <v>4</v>
      </c>
      <c r="O66">
        <v>96</v>
      </c>
      <c r="P66">
        <v>4.4450000000000002E-3</v>
      </c>
      <c r="Q66">
        <v>1.121216</v>
      </c>
      <c r="R66">
        <v>1.125661</v>
      </c>
      <c r="S66" t="s">
        <v>137</v>
      </c>
      <c r="T66">
        <v>0.35064600000000001</v>
      </c>
      <c r="U66">
        <v>1.2156E-2</v>
      </c>
      <c r="V66">
        <v>1.23E-3</v>
      </c>
      <c r="W66">
        <v>3.8999999999999999E-4</v>
      </c>
      <c r="X66">
        <v>7.4799999999999997E-4</v>
      </c>
      <c r="Y66">
        <v>76.209999999999994</v>
      </c>
      <c r="Z66" t="s">
        <v>137</v>
      </c>
      <c r="AA66">
        <v>23.74</v>
      </c>
      <c r="AB66">
        <v>0.82</v>
      </c>
      <c r="AC66">
        <v>0.08</v>
      </c>
      <c r="AD66">
        <v>0.03</v>
      </c>
      <c r="AE66">
        <v>0.05</v>
      </c>
    </row>
    <row r="67" spans="1:31" x14ac:dyDescent="0.3">
      <c r="A67" t="s">
        <v>71</v>
      </c>
      <c r="B67">
        <v>4</v>
      </c>
      <c r="C67">
        <v>3</v>
      </c>
      <c r="D67">
        <v>4</v>
      </c>
      <c r="E67">
        <v>3</v>
      </c>
      <c r="F67">
        <v>0.9</v>
      </c>
      <c r="G67">
        <v>0.9</v>
      </c>
      <c r="H67">
        <v>5.0000000000000001E-3</v>
      </c>
      <c r="I67">
        <v>120</v>
      </c>
      <c r="J67">
        <v>100</v>
      </c>
      <c r="K67">
        <v>4.9924679999999997</v>
      </c>
      <c r="L67">
        <v>3.5397340000000002</v>
      </c>
      <c r="M67">
        <v>128.25</v>
      </c>
      <c r="N67">
        <v>56</v>
      </c>
      <c r="O67">
        <v>44</v>
      </c>
      <c r="P67">
        <v>4.3150000000000003E-3</v>
      </c>
      <c r="Q67">
        <v>3.4487589999999999</v>
      </c>
      <c r="R67">
        <v>3.453074</v>
      </c>
      <c r="S67" t="s">
        <v>137</v>
      </c>
      <c r="T67">
        <v>1.5167360000000001</v>
      </c>
      <c r="U67">
        <v>3.9737000000000001E-2</v>
      </c>
      <c r="V67">
        <v>1.421E-3</v>
      </c>
      <c r="W67">
        <v>1.2620000000000001E-3</v>
      </c>
      <c r="X67">
        <v>2.2657E-2</v>
      </c>
      <c r="Y67">
        <v>69.17</v>
      </c>
      <c r="Z67" t="s">
        <v>137</v>
      </c>
      <c r="AA67">
        <v>30.38</v>
      </c>
      <c r="AB67">
        <v>0.8</v>
      </c>
      <c r="AC67">
        <v>0.03</v>
      </c>
      <c r="AD67">
        <v>0.03</v>
      </c>
      <c r="AE67">
        <v>0.45</v>
      </c>
    </row>
    <row r="68" spans="1:31" x14ac:dyDescent="0.3">
      <c r="A68" t="s">
        <v>72</v>
      </c>
      <c r="B68">
        <v>4</v>
      </c>
      <c r="C68">
        <v>3</v>
      </c>
      <c r="D68">
        <v>4</v>
      </c>
      <c r="E68">
        <v>3</v>
      </c>
      <c r="F68">
        <v>0.9</v>
      </c>
      <c r="G68">
        <v>0.9</v>
      </c>
      <c r="H68">
        <v>5.0000000000000001E-3</v>
      </c>
      <c r="I68">
        <v>120</v>
      </c>
      <c r="J68">
        <v>100</v>
      </c>
      <c r="K68">
        <v>2.9627180000000002</v>
      </c>
      <c r="L68">
        <v>1.9790479999999999</v>
      </c>
      <c r="M68">
        <v>77.16</v>
      </c>
      <c r="N68">
        <v>26</v>
      </c>
      <c r="O68">
        <v>74</v>
      </c>
      <c r="P68">
        <v>4.3920000000000001E-3</v>
      </c>
      <c r="Q68">
        <v>2.1685140000000001</v>
      </c>
      <c r="R68">
        <v>2.1729059999999998</v>
      </c>
      <c r="S68" t="s">
        <v>137</v>
      </c>
      <c r="T68">
        <v>0.78358799999999995</v>
      </c>
      <c r="U68">
        <v>2.3576E-2</v>
      </c>
      <c r="V68">
        <v>1.225E-3</v>
      </c>
      <c r="W68">
        <v>8.0400000000000003E-4</v>
      </c>
      <c r="X68">
        <v>6.2240000000000004E-3</v>
      </c>
      <c r="Y68">
        <v>73.34</v>
      </c>
      <c r="Z68" t="s">
        <v>137</v>
      </c>
      <c r="AA68">
        <v>26.45</v>
      </c>
      <c r="AB68">
        <v>0.8</v>
      </c>
      <c r="AC68">
        <v>0.04</v>
      </c>
      <c r="AD68">
        <v>0.03</v>
      </c>
      <c r="AE68">
        <v>0.21</v>
      </c>
    </row>
    <row r="69" spans="1:31" x14ac:dyDescent="0.3">
      <c r="A69" t="s">
        <v>73</v>
      </c>
      <c r="B69">
        <v>4</v>
      </c>
      <c r="C69">
        <v>3</v>
      </c>
      <c r="D69">
        <v>4</v>
      </c>
      <c r="E69">
        <v>3</v>
      </c>
      <c r="F69">
        <v>0.9</v>
      </c>
      <c r="G69">
        <v>0.9</v>
      </c>
      <c r="H69">
        <v>5.0000000000000001E-3</v>
      </c>
      <c r="I69">
        <v>120</v>
      </c>
      <c r="J69">
        <v>100</v>
      </c>
      <c r="K69">
        <v>1.1987380000000001</v>
      </c>
      <c r="L69">
        <v>0.75356299999999998</v>
      </c>
      <c r="M69">
        <v>33.79</v>
      </c>
      <c r="N69">
        <v>1</v>
      </c>
      <c r="O69">
        <v>99</v>
      </c>
      <c r="P69">
        <v>4.529E-3</v>
      </c>
      <c r="Q69">
        <v>0.90192499999999998</v>
      </c>
      <c r="R69">
        <v>0.90645399999999998</v>
      </c>
      <c r="S69" t="s">
        <v>137</v>
      </c>
      <c r="T69">
        <v>0.29142299999999999</v>
      </c>
      <c r="U69">
        <v>9.8490000000000001E-3</v>
      </c>
      <c r="V69">
        <v>1.1620000000000001E-3</v>
      </c>
      <c r="W69">
        <v>3.0899999999999998E-4</v>
      </c>
      <c r="X69">
        <v>8.61E-4</v>
      </c>
      <c r="Y69">
        <v>75.62</v>
      </c>
      <c r="Z69" t="s">
        <v>137</v>
      </c>
      <c r="AA69">
        <v>24.31</v>
      </c>
      <c r="AB69">
        <v>0.82</v>
      </c>
      <c r="AC69">
        <v>0.1</v>
      </c>
      <c r="AD69">
        <v>0.03</v>
      </c>
      <c r="AE69">
        <v>7.0000000000000007E-2</v>
      </c>
    </row>
    <row r="70" spans="1:31" x14ac:dyDescent="0.3">
      <c r="A70" t="s">
        <v>74</v>
      </c>
      <c r="B70">
        <v>4</v>
      </c>
      <c r="C70">
        <v>3</v>
      </c>
      <c r="D70">
        <v>4</v>
      </c>
      <c r="E70">
        <v>3</v>
      </c>
      <c r="F70">
        <v>0.9</v>
      </c>
      <c r="G70">
        <v>0.9</v>
      </c>
      <c r="H70">
        <v>5.0000000000000001E-3</v>
      </c>
      <c r="I70">
        <v>120</v>
      </c>
      <c r="J70">
        <v>100</v>
      </c>
      <c r="K70">
        <v>5.8406830000000003</v>
      </c>
      <c r="L70">
        <v>4.784211</v>
      </c>
      <c r="M70">
        <v>156.34</v>
      </c>
      <c r="N70">
        <v>62</v>
      </c>
      <c r="O70">
        <v>38</v>
      </c>
      <c r="P70">
        <v>4.483E-3</v>
      </c>
      <c r="Q70">
        <v>3.8912650000000002</v>
      </c>
      <c r="R70">
        <v>3.8957480000000002</v>
      </c>
      <c r="S70" t="s">
        <v>137</v>
      </c>
      <c r="T70">
        <v>1.914822</v>
      </c>
      <c r="U70">
        <v>4.8710999999999997E-2</v>
      </c>
      <c r="V70">
        <v>1.3649999999999999E-3</v>
      </c>
      <c r="W70">
        <v>1.529E-3</v>
      </c>
      <c r="X70">
        <v>3.0113999999999998E-2</v>
      </c>
      <c r="Y70">
        <v>66.7</v>
      </c>
      <c r="Z70" t="s">
        <v>137</v>
      </c>
      <c r="AA70">
        <v>32.78</v>
      </c>
      <c r="AB70">
        <v>0.83</v>
      </c>
      <c r="AC70">
        <v>0.02</v>
      </c>
      <c r="AD70">
        <v>0.03</v>
      </c>
      <c r="AE70">
        <v>0.52</v>
      </c>
    </row>
    <row r="71" spans="1:31" x14ac:dyDescent="0.3">
      <c r="A71" t="s">
        <v>75</v>
      </c>
      <c r="B71">
        <v>4</v>
      </c>
      <c r="C71">
        <v>3</v>
      </c>
      <c r="D71">
        <v>4</v>
      </c>
      <c r="E71">
        <v>3</v>
      </c>
      <c r="F71">
        <v>0.9</v>
      </c>
      <c r="G71">
        <v>0.9</v>
      </c>
      <c r="H71">
        <v>5.0000000000000001E-3</v>
      </c>
      <c r="I71">
        <v>120</v>
      </c>
      <c r="J71">
        <v>100</v>
      </c>
      <c r="K71">
        <v>7.8441289999999997</v>
      </c>
      <c r="L71">
        <v>9.4525600000000001</v>
      </c>
      <c r="M71">
        <v>211.63</v>
      </c>
      <c r="N71">
        <v>61</v>
      </c>
      <c r="O71">
        <v>39</v>
      </c>
      <c r="P71">
        <v>4.4590000000000003E-3</v>
      </c>
      <c r="Q71">
        <v>4.493652</v>
      </c>
      <c r="R71">
        <v>4.4981119999999999</v>
      </c>
      <c r="S71" t="s">
        <v>137</v>
      </c>
      <c r="T71">
        <v>3.3066550000000001</v>
      </c>
      <c r="U71">
        <v>6.6096000000000002E-2</v>
      </c>
      <c r="V71">
        <v>1.5770000000000001E-3</v>
      </c>
      <c r="W71">
        <v>1.9430000000000001E-3</v>
      </c>
      <c r="X71">
        <v>3.9363000000000002E-2</v>
      </c>
      <c r="Y71">
        <v>57.34</v>
      </c>
      <c r="Z71" t="s">
        <v>137</v>
      </c>
      <c r="AA71">
        <v>42.15</v>
      </c>
      <c r="AB71">
        <v>0.84</v>
      </c>
      <c r="AC71">
        <v>0.02</v>
      </c>
      <c r="AD71">
        <v>0.02</v>
      </c>
      <c r="AE71">
        <v>0.5</v>
      </c>
    </row>
    <row r="72" spans="1:31" x14ac:dyDescent="0.3">
      <c r="A72" t="s">
        <v>76</v>
      </c>
      <c r="B72">
        <v>4</v>
      </c>
      <c r="C72">
        <v>3</v>
      </c>
      <c r="D72">
        <v>4</v>
      </c>
      <c r="E72">
        <v>3</v>
      </c>
      <c r="F72">
        <v>0.9</v>
      </c>
      <c r="G72">
        <v>0.9</v>
      </c>
      <c r="H72">
        <v>5.0000000000000001E-3</v>
      </c>
      <c r="I72">
        <v>120</v>
      </c>
      <c r="J72">
        <v>100</v>
      </c>
      <c r="K72">
        <v>1.792751</v>
      </c>
      <c r="L72">
        <v>1.160045</v>
      </c>
      <c r="M72">
        <v>46.09</v>
      </c>
      <c r="N72">
        <v>5</v>
      </c>
      <c r="O72">
        <v>95</v>
      </c>
      <c r="P72">
        <v>4.4409999999999996E-3</v>
      </c>
      <c r="Q72">
        <v>1.3625430000000001</v>
      </c>
      <c r="R72">
        <v>1.366984</v>
      </c>
      <c r="S72" t="s">
        <v>137</v>
      </c>
      <c r="T72">
        <v>0.42435099999999998</v>
      </c>
      <c r="U72">
        <v>1.3736999999999999E-2</v>
      </c>
      <c r="V72">
        <v>1.1609999999999999E-3</v>
      </c>
      <c r="W72">
        <v>4.4099999999999999E-4</v>
      </c>
      <c r="X72">
        <v>1.4170000000000001E-3</v>
      </c>
      <c r="Y72">
        <v>76.25</v>
      </c>
      <c r="Z72" t="s">
        <v>137</v>
      </c>
      <c r="AA72">
        <v>23.67</v>
      </c>
      <c r="AB72">
        <v>0.77</v>
      </c>
      <c r="AC72">
        <v>0.06</v>
      </c>
      <c r="AD72">
        <v>0.02</v>
      </c>
      <c r="AE72">
        <v>0.08</v>
      </c>
    </row>
    <row r="73" spans="1:31" x14ac:dyDescent="0.3">
      <c r="A73" t="s">
        <v>77</v>
      </c>
      <c r="B73">
        <v>4</v>
      </c>
      <c r="C73">
        <v>3</v>
      </c>
      <c r="D73">
        <v>4</v>
      </c>
      <c r="E73">
        <v>3</v>
      </c>
      <c r="F73">
        <v>0.9</v>
      </c>
      <c r="G73">
        <v>0.9</v>
      </c>
      <c r="H73">
        <v>5.0000000000000001E-3</v>
      </c>
      <c r="I73">
        <v>120</v>
      </c>
      <c r="J73">
        <v>68</v>
      </c>
      <c r="K73">
        <v>27.550871000000001</v>
      </c>
      <c r="L73">
        <v>27.298119</v>
      </c>
      <c r="M73">
        <v>775.04</v>
      </c>
      <c r="N73">
        <v>64</v>
      </c>
      <c r="O73">
        <v>4</v>
      </c>
      <c r="P73">
        <v>4.5510000000000004E-3</v>
      </c>
      <c r="Q73">
        <v>9.7363389999999992</v>
      </c>
      <c r="R73">
        <v>9.7408900000000003</v>
      </c>
      <c r="S73" t="s">
        <v>137</v>
      </c>
      <c r="T73">
        <v>17.474160999999999</v>
      </c>
      <c r="U73">
        <v>0.24496200000000001</v>
      </c>
      <c r="V73">
        <v>1.727E-3</v>
      </c>
      <c r="W73">
        <v>7.3419999999999996E-3</v>
      </c>
      <c r="X73">
        <v>0.33582099999999998</v>
      </c>
      <c r="Y73">
        <v>35.36</v>
      </c>
      <c r="Z73" t="s">
        <v>137</v>
      </c>
      <c r="AA73">
        <v>63.43</v>
      </c>
      <c r="AB73">
        <v>0.89</v>
      </c>
      <c r="AC73">
        <v>0.01</v>
      </c>
      <c r="AD73">
        <v>0.03</v>
      </c>
      <c r="AE73">
        <v>1.22</v>
      </c>
    </row>
    <row r="74" spans="1:31" x14ac:dyDescent="0.3">
      <c r="A74" t="s">
        <v>78</v>
      </c>
      <c r="B74">
        <v>4</v>
      </c>
      <c r="C74">
        <v>3</v>
      </c>
      <c r="D74">
        <v>4</v>
      </c>
      <c r="E74">
        <v>3</v>
      </c>
      <c r="F74">
        <v>0.9</v>
      </c>
      <c r="G74">
        <v>0.9</v>
      </c>
      <c r="H74">
        <v>5.0000000000000001E-3</v>
      </c>
      <c r="I74">
        <v>120</v>
      </c>
      <c r="J74">
        <v>100</v>
      </c>
      <c r="K74">
        <v>2.2881290000000001</v>
      </c>
      <c r="L74">
        <v>1.6576839999999999</v>
      </c>
      <c r="M74">
        <v>62.05</v>
      </c>
      <c r="N74">
        <v>18</v>
      </c>
      <c r="O74">
        <v>82</v>
      </c>
      <c r="P74">
        <v>4.5770000000000003E-3</v>
      </c>
      <c r="Q74">
        <v>1.702434</v>
      </c>
      <c r="R74">
        <v>1.7070110000000001</v>
      </c>
      <c r="S74" t="s">
        <v>137</v>
      </c>
      <c r="T74">
        <v>0.57741600000000004</v>
      </c>
      <c r="U74">
        <v>1.8790000000000001E-2</v>
      </c>
      <c r="V74">
        <v>1.1850000000000001E-3</v>
      </c>
      <c r="W74">
        <v>5.9900000000000003E-4</v>
      </c>
      <c r="X74">
        <v>3.702E-3</v>
      </c>
      <c r="Y74">
        <v>74.599999999999994</v>
      </c>
      <c r="Z74" t="s">
        <v>137</v>
      </c>
      <c r="AA74">
        <v>25.24</v>
      </c>
      <c r="AB74">
        <v>0.82</v>
      </c>
      <c r="AC74">
        <v>0.05</v>
      </c>
      <c r="AD74">
        <v>0.03</v>
      </c>
      <c r="AE74">
        <v>0.16</v>
      </c>
    </row>
    <row r="75" spans="1:31" x14ac:dyDescent="0.3">
      <c r="A75" t="s">
        <v>79</v>
      </c>
      <c r="B75">
        <v>4</v>
      </c>
      <c r="C75">
        <v>3</v>
      </c>
      <c r="D75">
        <v>4</v>
      </c>
      <c r="E75">
        <v>3</v>
      </c>
      <c r="F75">
        <v>0.9</v>
      </c>
      <c r="G75">
        <v>0.9</v>
      </c>
      <c r="H75">
        <v>5.0000000000000001E-3</v>
      </c>
      <c r="I75">
        <v>120</v>
      </c>
      <c r="J75">
        <v>100</v>
      </c>
      <c r="K75">
        <v>0.29277399999999998</v>
      </c>
      <c r="L75">
        <v>0.16944999999999999</v>
      </c>
      <c r="M75">
        <v>11.94</v>
      </c>
      <c r="N75">
        <v>0</v>
      </c>
      <c r="O75">
        <v>100</v>
      </c>
      <c r="P75">
        <v>5.0150000000000004E-3</v>
      </c>
      <c r="Q75">
        <v>0.20130899999999999</v>
      </c>
      <c r="R75">
        <v>0.20632300000000001</v>
      </c>
      <c r="S75" t="s">
        <v>137</v>
      </c>
      <c r="T75">
        <v>8.6451E-2</v>
      </c>
      <c r="U75">
        <v>2.9030000000000002E-3</v>
      </c>
      <c r="V75">
        <v>1.2689999999999999E-3</v>
      </c>
      <c r="W75">
        <v>9.1000000000000003E-5</v>
      </c>
      <c r="X75">
        <v>0</v>
      </c>
      <c r="Y75">
        <v>70.47</v>
      </c>
      <c r="Z75" t="s">
        <v>137</v>
      </c>
      <c r="AA75">
        <v>29.53</v>
      </c>
      <c r="AB75">
        <v>0.99</v>
      </c>
      <c r="AC75">
        <v>0.43</v>
      </c>
      <c r="AD75">
        <v>0.03</v>
      </c>
      <c r="AE75">
        <v>0</v>
      </c>
    </row>
    <row r="76" spans="1:31" x14ac:dyDescent="0.3">
      <c r="A76" t="s">
        <v>80</v>
      </c>
      <c r="B76">
        <v>4</v>
      </c>
      <c r="C76">
        <v>3</v>
      </c>
      <c r="D76">
        <v>4</v>
      </c>
      <c r="E76">
        <v>3</v>
      </c>
      <c r="F76">
        <v>0.9</v>
      </c>
      <c r="G76">
        <v>0.9</v>
      </c>
      <c r="H76">
        <v>5.0000000000000001E-3</v>
      </c>
      <c r="I76">
        <v>120</v>
      </c>
      <c r="J76">
        <v>100</v>
      </c>
      <c r="K76">
        <v>0.14723</v>
      </c>
      <c r="L76">
        <v>9.0803999999999996E-2</v>
      </c>
      <c r="M76">
        <v>6.81</v>
      </c>
      <c r="N76">
        <v>0</v>
      </c>
      <c r="O76">
        <v>100</v>
      </c>
      <c r="P76">
        <v>5.2350000000000001E-3</v>
      </c>
      <c r="Q76">
        <v>9.2166999999999999E-2</v>
      </c>
      <c r="R76">
        <v>9.7402000000000002E-2</v>
      </c>
      <c r="S76" t="s">
        <v>137</v>
      </c>
      <c r="T76">
        <v>4.9827999999999997E-2</v>
      </c>
      <c r="U76">
        <v>1.5380000000000001E-3</v>
      </c>
      <c r="V76">
        <v>7.6599999999999997E-4</v>
      </c>
      <c r="W76">
        <v>4.8999999999999998E-5</v>
      </c>
      <c r="X76">
        <v>0</v>
      </c>
      <c r="Y76">
        <v>66.16</v>
      </c>
      <c r="Z76" t="s">
        <v>137</v>
      </c>
      <c r="AA76">
        <v>33.840000000000003</v>
      </c>
      <c r="AB76">
        <v>1.04</v>
      </c>
      <c r="AC76">
        <v>0.52</v>
      </c>
      <c r="AD76">
        <v>0.03</v>
      </c>
      <c r="AE76">
        <v>0</v>
      </c>
    </row>
    <row r="77" spans="1:31" x14ac:dyDescent="0.3">
      <c r="A77" t="s">
        <v>81</v>
      </c>
      <c r="B77">
        <v>4</v>
      </c>
      <c r="C77">
        <v>3</v>
      </c>
      <c r="D77">
        <v>4</v>
      </c>
      <c r="E77">
        <v>3</v>
      </c>
      <c r="F77">
        <v>0.9</v>
      </c>
      <c r="G77">
        <v>0.9</v>
      </c>
      <c r="H77">
        <v>5.0000000000000001E-3</v>
      </c>
      <c r="I77">
        <v>120</v>
      </c>
      <c r="J77">
        <v>100</v>
      </c>
      <c r="K77">
        <v>0.28542499999999998</v>
      </c>
      <c r="L77">
        <v>0.31940099999999999</v>
      </c>
      <c r="M77">
        <v>14.06</v>
      </c>
      <c r="N77">
        <v>1</v>
      </c>
      <c r="O77">
        <v>99</v>
      </c>
      <c r="P77">
        <v>5.3200000000000001E-3</v>
      </c>
      <c r="Q77">
        <v>0.19544300000000001</v>
      </c>
      <c r="R77">
        <v>0.200763</v>
      </c>
      <c r="S77" t="s">
        <v>137</v>
      </c>
      <c r="T77">
        <v>8.4662000000000001E-2</v>
      </c>
      <c r="U77">
        <v>3.8479999999999999E-3</v>
      </c>
      <c r="V77">
        <v>8.2700000000000004E-4</v>
      </c>
      <c r="W77">
        <v>1.07E-4</v>
      </c>
      <c r="X77">
        <v>9.9999999999999995E-7</v>
      </c>
      <c r="Y77">
        <v>70.34</v>
      </c>
      <c r="Z77" t="s">
        <v>137</v>
      </c>
      <c r="AA77">
        <v>29.66</v>
      </c>
      <c r="AB77">
        <v>1.35</v>
      </c>
      <c r="AC77">
        <v>0.28999999999999998</v>
      </c>
      <c r="AD77">
        <v>0.04</v>
      </c>
      <c r="AE77">
        <v>0</v>
      </c>
    </row>
    <row r="78" spans="1:31" x14ac:dyDescent="0.3">
      <c r="A78" t="s">
        <v>82</v>
      </c>
      <c r="B78">
        <v>4</v>
      </c>
      <c r="C78">
        <v>3</v>
      </c>
      <c r="D78">
        <v>4</v>
      </c>
      <c r="E78">
        <v>3</v>
      </c>
      <c r="F78">
        <v>0.9</v>
      </c>
      <c r="G78">
        <v>0.9</v>
      </c>
      <c r="H78">
        <v>5.0000000000000001E-3</v>
      </c>
      <c r="I78">
        <v>120</v>
      </c>
      <c r="J78">
        <v>100</v>
      </c>
      <c r="K78">
        <v>0.1888</v>
      </c>
      <c r="L78">
        <v>8.4390000000000007E-2</v>
      </c>
      <c r="M78">
        <v>7.61</v>
      </c>
      <c r="N78">
        <v>0</v>
      </c>
      <c r="O78">
        <v>100</v>
      </c>
      <c r="P78">
        <v>4.9449999999999997E-3</v>
      </c>
      <c r="Q78">
        <v>0.12338200000000001</v>
      </c>
      <c r="R78">
        <v>0.128326</v>
      </c>
      <c r="S78" t="s">
        <v>137</v>
      </c>
      <c r="T78">
        <v>6.0475000000000001E-2</v>
      </c>
      <c r="U78">
        <v>1.701E-3</v>
      </c>
      <c r="V78">
        <v>9.7099999999999997E-4</v>
      </c>
      <c r="W78">
        <v>5.3999999999999998E-5</v>
      </c>
      <c r="X78">
        <v>0</v>
      </c>
      <c r="Y78">
        <v>67.97</v>
      </c>
      <c r="Z78" t="s">
        <v>137</v>
      </c>
      <c r="AA78">
        <v>32.03</v>
      </c>
      <c r="AB78">
        <v>0.9</v>
      </c>
      <c r="AC78">
        <v>0.51</v>
      </c>
      <c r="AD78">
        <v>0.03</v>
      </c>
      <c r="AE78">
        <v>0</v>
      </c>
    </row>
    <row r="79" spans="1:31" x14ac:dyDescent="0.3">
      <c r="A79" t="s">
        <v>83</v>
      </c>
      <c r="B79">
        <v>4</v>
      </c>
      <c r="C79">
        <v>3</v>
      </c>
      <c r="D79">
        <v>4</v>
      </c>
      <c r="E79">
        <v>3</v>
      </c>
      <c r="F79">
        <v>0.9</v>
      </c>
      <c r="G79">
        <v>0.9</v>
      </c>
      <c r="H79">
        <v>5.0000000000000001E-3</v>
      </c>
      <c r="I79">
        <v>120</v>
      </c>
      <c r="J79">
        <v>100</v>
      </c>
      <c r="K79">
        <v>0.52657799999999999</v>
      </c>
      <c r="L79">
        <v>0.49462600000000001</v>
      </c>
      <c r="M79">
        <v>23.69</v>
      </c>
      <c r="N79">
        <v>2</v>
      </c>
      <c r="O79">
        <v>98</v>
      </c>
      <c r="P79">
        <v>5.2610000000000001E-3</v>
      </c>
      <c r="Q79">
        <v>0.37637700000000002</v>
      </c>
      <c r="R79">
        <v>0.38163799999999998</v>
      </c>
      <c r="S79" t="s">
        <v>137</v>
      </c>
      <c r="T79">
        <v>0.14493900000000001</v>
      </c>
      <c r="U79">
        <v>6.6909999999999999E-3</v>
      </c>
      <c r="V79">
        <v>1.0950000000000001E-3</v>
      </c>
      <c r="W79">
        <v>1.8599999999999999E-4</v>
      </c>
      <c r="X79">
        <v>9.9999999999999995E-7</v>
      </c>
      <c r="Y79">
        <v>72.48</v>
      </c>
      <c r="Z79" t="s">
        <v>137</v>
      </c>
      <c r="AA79">
        <v>27.52</v>
      </c>
      <c r="AB79">
        <v>1.27</v>
      </c>
      <c r="AC79">
        <v>0.21</v>
      </c>
      <c r="AD79">
        <v>0.04</v>
      </c>
      <c r="AE79">
        <v>0</v>
      </c>
    </row>
    <row r="80" spans="1:31" x14ac:dyDescent="0.3">
      <c r="A80" t="s">
        <v>84</v>
      </c>
      <c r="B80">
        <v>4</v>
      </c>
      <c r="C80">
        <v>3</v>
      </c>
      <c r="D80">
        <v>4</v>
      </c>
      <c r="E80">
        <v>3</v>
      </c>
      <c r="F80">
        <v>0.9</v>
      </c>
      <c r="G80">
        <v>0.9</v>
      </c>
      <c r="H80">
        <v>5.0000000000000001E-3</v>
      </c>
      <c r="I80">
        <v>120</v>
      </c>
      <c r="J80">
        <v>100</v>
      </c>
      <c r="K80">
        <v>3.184412</v>
      </c>
      <c r="L80">
        <v>8.1543729999999996</v>
      </c>
      <c r="M80">
        <v>143.55000000000001</v>
      </c>
      <c r="N80">
        <v>21</v>
      </c>
      <c r="O80">
        <v>79</v>
      </c>
      <c r="P80">
        <v>5.2529999999999999E-3</v>
      </c>
      <c r="Q80">
        <v>1.5056430000000001</v>
      </c>
      <c r="R80">
        <v>1.510896</v>
      </c>
      <c r="S80" t="s">
        <v>137</v>
      </c>
      <c r="T80">
        <v>1.6124639999999999</v>
      </c>
      <c r="U80">
        <v>4.4933000000000001E-2</v>
      </c>
      <c r="V80">
        <v>9.0399999999999996E-4</v>
      </c>
      <c r="W80">
        <v>1.0820000000000001E-3</v>
      </c>
      <c r="X80">
        <v>6.1052000000000002E-2</v>
      </c>
      <c r="Y80">
        <v>47.45</v>
      </c>
      <c r="Z80" t="s">
        <v>137</v>
      </c>
      <c r="AA80">
        <v>50.64</v>
      </c>
      <c r="AB80">
        <v>1.41</v>
      </c>
      <c r="AC80">
        <v>0.03</v>
      </c>
      <c r="AD80">
        <v>0.03</v>
      </c>
      <c r="AE80">
        <v>1.92</v>
      </c>
    </row>
    <row r="81" spans="1:31" x14ac:dyDescent="0.3">
      <c r="A81" t="s">
        <v>85</v>
      </c>
      <c r="B81">
        <v>4</v>
      </c>
      <c r="C81">
        <v>3</v>
      </c>
      <c r="D81">
        <v>4</v>
      </c>
      <c r="E81">
        <v>3</v>
      </c>
      <c r="F81">
        <v>0.9</v>
      </c>
      <c r="G81">
        <v>0.9</v>
      </c>
      <c r="H81">
        <v>5.0000000000000001E-3</v>
      </c>
      <c r="I81">
        <v>120</v>
      </c>
      <c r="J81">
        <v>100</v>
      </c>
      <c r="K81">
        <v>0.142015</v>
      </c>
      <c r="L81">
        <v>8.0535999999999996E-2</v>
      </c>
      <c r="M81">
        <v>6.86</v>
      </c>
      <c r="N81">
        <v>0</v>
      </c>
      <c r="O81">
        <v>100</v>
      </c>
      <c r="P81">
        <v>5.2550000000000001E-3</v>
      </c>
      <c r="Q81">
        <v>8.9147000000000004E-2</v>
      </c>
      <c r="R81">
        <v>9.4402E-2</v>
      </c>
      <c r="S81" t="s">
        <v>137</v>
      </c>
      <c r="T81">
        <v>4.7613000000000003E-2</v>
      </c>
      <c r="U81">
        <v>1.6069999999999999E-3</v>
      </c>
      <c r="V81">
        <v>7.1299999999999998E-4</v>
      </c>
      <c r="W81">
        <v>4.6999999999999997E-5</v>
      </c>
      <c r="X81">
        <v>0</v>
      </c>
      <c r="Y81">
        <v>66.47</v>
      </c>
      <c r="Z81" t="s">
        <v>137</v>
      </c>
      <c r="AA81">
        <v>33.53</v>
      </c>
      <c r="AB81">
        <v>1.1299999999999999</v>
      </c>
      <c r="AC81">
        <v>0.5</v>
      </c>
      <c r="AD81">
        <v>0.03</v>
      </c>
      <c r="AE81">
        <v>0</v>
      </c>
    </row>
    <row r="82" spans="1:31" x14ac:dyDescent="0.3">
      <c r="A82" t="s">
        <v>86</v>
      </c>
      <c r="B82">
        <v>4</v>
      </c>
      <c r="C82">
        <v>3</v>
      </c>
      <c r="D82">
        <v>4</v>
      </c>
      <c r="E82">
        <v>3</v>
      </c>
      <c r="F82">
        <v>0.9</v>
      </c>
      <c r="G82">
        <v>0.9</v>
      </c>
      <c r="H82">
        <v>5.0000000000000001E-3</v>
      </c>
      <c r="I82">
        <v>120</v>
      </c>
      <c r="J82">
        <v>100</v>
      </c>
      <c r="K82">
        <v>1.2157249999999999</v>
      </c>
      <c r="L82">
        <v>6.7403820000000003</v>
      </c>
      <c r="M82">
        <v>58.55</v>
      </c>
      <c r="N82">
        <v>7</v>
      </c>
      <c r="O82">
        <v>93</v>
      </c>
      <c r="P82">
        <v>5.3189999999999999E-3</v>
      </c>
      <c r="Q82">
        <v>0.53136700000000003</v>
      </c>
      <c r="R82">
        <v>0.53668700000000003</v>
      </c>
      <c r="S82" t="s">
        <v>137</v>
      </c>
      <c r="T82">
        <v>0.67279900000000004</v>
      </c>
      <c r="U82">
        <v>1.7964000000000001E-2</v>
      </c>
      <c r="V82">
        <v>9.3199999999999999E-4</v>
      </c>
      <c r="W82">
        <v>3.5500000000000001E-4</v>
      </c>
      <c r="X82">
        <v>6.2389999999999998E-3</v>
      </c>
      <c r="Y82">
        <v>44.15</v>
      </c>
      <c r="Z82" t="s">
        <v>137</v>
      </c>
      <c r="AA82">
        <v>55.34</v>
      </c>
      <c r="AB82">
        <v>1.48</v>
      </c>
      <c r="AC82">
        <v>0.08</v>
      </c>
      <c r="AD82">
        <v>0.03</v>
      </c>
      <c r="AE82">
        <v>0.51</v>
      </c>
    </row>
    <row r="83" spans="1:31" x14ac:dyDescent="0.3">
      <c r="A83" t="s">
        <v>87</v>
      </c>
      <c r="B83">
        <v>4</v>
      </c>
      <c r="C83">
        <v>3</v>
      </c>
      <c r="D83">
        <v>4</v>
      </c>
      <c r="E83">
        <v>3</v>
      </c>
      <c r="F83">
        <v>0.9</v>
      </c>
      <c r="G83">
        <v>0.9</v>
      </c>
      <c r="H83">
        <v>5.0000000000000001E-3</v>
      </c>
      <c r="I83">
        <v>120</v>
      </c>
      <c r="J83">
        <v>100</v>
      </c>
      <c r="K83">
        <v>0.56153500000000001</v>
      </c>
      <c r="L83">
        <v>0.50753000000000004</v>
      </c>
      <c r="M83">
        <v>20.18</v>
      </c>
      <c r="N83">
        <v>1</v>
      </c>
      <c r="O83">
        <v>99</v>
      </c>
      <c r="P83">
        <v>4.8780000000000004E-3</v>
      </c>
      <c r="Q83">
        <v>0.40436499999999997</v>
      </c>
      <c r="R83">
        <v>0.409244</v>
      </c>
      <c r="S83" t="s">
        <v>137</v>
      </c>
      <c r="T83">
        <v>0.152283</v>
      </c>
      <c r="U83">
        <v>5.5240000000000003E-3</v>
      </c>
      <c r="V83">
        <v>1.2329999999999999E-3</v>
      </c>
      <c r="W83">
        <v>1.7899999999999999E-4</v>
      </c>
      <c r="X83">
        <v>7.9999999999999996E-6</v>
      </c>
      <c r="Y83">
        <v>72.88</v>
      </c>
      <c r="Z83" t="s">
        <v>137</v>
      </c>
      <c r="AA83">
        <v>27.12</v>
      </c>
      <c r="AB83">
        <v>0.98</v>
      </c>
      <c r="AC83">
        <v>0.22</v>
      </c>
      <c r="AD83">
        <v>0.03</v>
      </c>
      <c r="AE83">
        <v>0</v>
      </c>
    </row>
    <row r="84" spans="1:31" x14ac:dyDescent="0.3">
      <c r="A84" t="s">
        <v>88</v>
      </c>
      <c r="B84">
        <v>4</v>
      </c>
      <c r="C84">
        <v>3</v>
      </c>
      <c r="D84">
        <v>4</v>
      </c>
      <c r="E84">
        <v>3</v>
      </c>
      <c r="F84">
        <v>0.9</v>
      </c>
      <c r="G84">
        <v>0.9</v>
      </c>
      <c r="H84">
        <v>5.0000000000000001E-3</v>
      </c>
      <c r="I84">
        <v>120</v>
      </c>
      <c r="J84">
        <v>100</v>
      </c>
      <c r="K84">
        <v>1.6039730000000001</v>
      </c>
      <c r="L84">
        <v>1.4248339999999999</v>
      </c>
      <c r="M84">
        <v>56.47</v>
      </c>
      <c r="N84">
        <v>13</v>
      </c>
      <c r="O84">
        <v>87</v>
      </c>
      <c r="P84">
        <v>4.8710000000000003E-3</v>
      </c>
      <c r="Q84">
        <v>1.1775500000000001</v>
      </c>
      <c r="R84">
        <v>1.1824209999999999</v>
      </c>
      <c r="S84" t="s">
        <v>137</v>
      </c>
      <c r="T84">
        <v>0.41626400000000002</v>
      </c>
      <c r="U84">
        <v>1.6957E-2</v>
      </c>
      <c r="V84">
        <v>1.379E-3</v>
      </c>
      <c r="W84">
        <v>4.7899999999999999E-4</v>
      </c>
      <c r="X84">
        <v>5.2890000000000003E-3</v>
      </c>
      <c r="Y84">
        <v>73.72</v>
      </c>
      <c r="Z84" t="s">
        <v>137</v>
      </c>
      <c r="AA84">
        <v>25.95</v>
      </c>
      <c r="AB84">
        <v>1.06</v>
      </c>
      <c r="AC84">
        <v>0.09</v>
      </c>
      <c r="AD84">
        <v>0.03</v>
      </c>
      <c r="AE84">
        <v>0.33</v>
      </c>
    </row>
    <row r="85" spans="1:31" x14ac:dyDescent="0.3">
      <c r="A85" t="s">
        <v>89</v>
      </c>
      <c r="B85">
        <v>4</v>
      </c>
      <c r="C85">
        <v>3</v>
      </c>
      <c r="D85">
        <v>4</v>
      </c>
      <c r="E85">
        <v>3</v>
      </c>
      <c r="F85">
        <v>0.9</v>
      </c>
      <c r="G85">
        <v>0.9</v>
      </c>
      <c r="H85">
        <v>5.0000000000000001E-3</v>
      </c>
      <c r="I85">
        <v>120</v>
      </c>
      <c r="J85">
        <v>100</v>
      </c>
      <c r="K85">
        <v>0.200736</v>
      </c>
      <c r="L85">
        <v>0.116358</v>
      </c>
      <c r="M85">
        <v>8.4600000000000009</v>
      </c>
      <c r="N85">
        <v>0</v>
      </c>
      <c r="O85">
        <v>100</v>
      </c>
      <c r="P85">
        <v>5.13E-3</v>
      </c>
      <c r="Q85">
        <v>0.13187199999999999</v>
      </c>
      <c r="R85">
        <v>0.13700200000000001</v>
      </c>
      <c r="S85" t="s">
        <v>137</v>
      </c>
      <c r="T85">
        <v>6.3733999999999999E-2</v>
      </c>
      <c r="U85">
        <v>1.8890000000000001E-3</v>
      </c>
      <c r="V85">
        <v>1.039E-3</v>
      </c>
      <c r="W85">
        <v>6.0999999999999999E-5</v>
      </c>
      <c r="X85">
        <v>0</v>
      </c>
      <c r="Y85">
        <v>68.25</v>
      </c>
      <c r="Z85" t="s">
        <v>137</v>
      </c>
      <c r="AA85">
        <v>31.75</v>
      </c>
      <c r="AB85">
        <v>0.94</v>
      </c>
      <c r="AC85">
        <v>0.52</v>
      </c>
      <c r="AD85">
        <v>0.03</v>
      </c>
      <c r="AE85">
        <v>0</v>
      </c>
    </row>
    <row r="86" spans="1:31" x14ac:dyDescent="0.3">
      <c r="A86" t="s">
        <v>90</v>
      </c>
      <c r="B86">
        <v>4</v>
      </c>
      <c r="C86">
        <v>3</v>
      </c>
      <c r="D86">
        <v>4</v>
      </c>
      <c r="E86">
        <v>3</v>
      </c>
      <c r="F86">
        <v>0.9</v>
      </c>
      <c r="G86">
        <v>0.9</v>
      </c>
      <c r="H86">
        <v>5.0000000000000001E-3</v>
      </c>
      <c r="I86">
        <v>120</v>
      </c>
      <c r="J86">
        <v>100</v>
      </c>
      <c r="K86">
        <v>1.0727819999999999</v>
      </c>
      <c r="L86">
        <v>1.0794550000000001</v>
      </c>
      <c r="M86">
        <v>38.17</v>
      </c>
      <c r="N86">
        <v>6</v>
      </c>
      <c r="O86">
        <v>94</v>
      </c>
      <c r="P86">
        <v>4.8399999999999997E-3</v>
      </c>
      <c r="Q86">
        <v>0.788215</v>
      </c>
      <c r="R86">
        <v>0.79305499999999995</v>
      </c>
      <c r="S86" t="s">
        <v>137</v>
      </c>
      <c r="T86">
        <v>0.278451</v>
      </c>
      <c r="U86">
        <v>1.1188999999999999E-2</v>
      </c>
      <c r="V86">
        <v>1.256E-3</v>
      </c>
      <c r="W86">
        <v>3.4200000000000002E-4</v>
      </c>
      <c r="X86">
        <v>1.2769999999999999E-3</v>
      </c>
      <c r="Y86">
        <v>73.930000000000007</v>
      </c>
      <c r="Z86" t="s">
        <v>137</v>
      </c>
      <c r="AA86">
        <v>25.96</v>
      </c>
      <c r="AB86">
        <v>1.04</v>
      </c>
      <c r="AC86">
        <v>0.12</v>
      </c>
      <c r="AD86">
        <v>0.03</v>
      </c>
      <c r="AE86">
        <v>0.12</v>
      </c>
    </row>
    <row r="87" spans="1:31" x14ac:dyDescent="0.3">
      <c r="A87" t="s">
        <v>91</v>
      </c>
      <c r="B87">
        <v>4</v>
      </c>
      <c r="C87">
        <v>3</v>
      </c>
      <c r="D87">
        <v>4</v>
      </c>
      <c r="E87">
        <v>3</v>
      </c>
      <c r="F87">
        <v>0.9</v>
      </c>
      <c r="G87">
        <v>0.9</v>
      </c>
      <c r="H87">
        <v>5.0000000000000001E-3</v>
      </c>
      <c r="I87">
        <v>120</v>
      </c>
      <c r="J87">
        <v>100</v>
      </c>
      <c r="K87">
        <v>5.548457</v>
      </c>
      <c r="L87">
        <v>14.475932999999999</v>
      </c>
      <c r="M87">
        <v>212.94</v>
      </c>
      <c r="N87">
        <v>41</v>
      </c>
      <c r="O87">
        <v>59</v>
      </c>
      <c r="P87">
        <v>5.019E-3</v>
      </c>
      <c r="Q87">
        <v>2.5764819999999999</v>
      </c>
      <c r="R87">
        <v>2.5815009999999998</v>
      </c>
      <c r="S87" t="s">
        <v>137</v>
      </c>
      <c r="T87">
        <v>2.878806</v>
      </c>
      <c r="U87">
        <v>6.6841999999999999E-2</v>
      </c>
      <c r="V87">
        <v>1.2130000000000001E-3</v>
      </c>
      <c r="W87">
        <v>1.856E-3</v>
      </c>
      <c r="X87">
        <v>8.8150000000000006E-2</v>
      </c>
      <c r="Y87">
        <v>46.53</v>
      </c>
      <c r="Z87" t="s">
        <v>137</v>
      </c>
      <c r="AA87">
        <v>51.88</v>
      </c>
      <c r="AB87">
        <v>1.2</v>
      </c>
      <c r="AC87">
        <v>0.02</v>
      </c>
      <c r="AD87">
        <v>0.03</v>
      </c>
      <c r="AE87">
        <v>1.59</v>
      </c>
    </row>
    <row r="88" spans="1:31" x14ac:dyDescent="0.3">
      <c r="A88" t="s">
        <v>92</v>
      </c>
      <c r="B88">
        <v>4</v>
      </c>
      <c r="C88">
        <v>3</v>
      </c>
      <c r="D88">
        <v>4</v>
      </c>
      <c r="E88">
        <v>3</v>
      </c>
      <c r="F88">
        <v>0.9</v>
      </c>
      <c r="G88">
        <v>0.9</v>
      </c>
      <c r="H88">
        <v>5.0000000000000001E-3</v>
      </c>
      <c r="I88">
        <v>120</v>
      </c>
      <c r="J88">
        <v>100</v>
      </c>
      <c r="K88">
        <v>1.8771720000000001</v>
      </c>
      <c r="L88">
        <v>1.8641350000000001</v>
      </c>
      <c r="M88">
        <v>71.05</v>
      </c>
      <c r="N88">
        <v>19</v>
      </c>
      <c r="O88">
        <v>81</v>
      </c>
      <c r="P88">
        <v>4.9519999999999998E-3</v>
      </c>
      <c r="Q88">
        <v>1.3571070000000001</v>
      </c>
      <c r="R88">
        <v>1.3620589999999999</v>
      </c>
      <c r="S88" t="s">
        <v>137</v>
      </c>
      <c r="T88">
        <v>0.50449999999999995</v>
      </c>
      <c r="U88">
        <v>2.1499999999999998E-2</v>
      </c>
      <c r="V88">
        <v>1.4189999999999999E-3</v>
      </c>
      <c r="W88">
        <v>5.7700000000000004E-4</v>
      </c>
      <c r="X88">
        <v>1.0612999999999999E-2</v>
      </c>
      <c r="Y88">
        <v>72.56</v>
      </c>
      <c r="Z88" t="s">
        <v>137</v>
      </c>
      <c r="AA88">
        <v>26.88</v>
      </c>
      <c r="AB88">
        <v>1.1499999999999999</v>
      </c>
      <c r="AC88">
        <v>0.08</v>
      </c>
      <c r="AD88">
        <v>0.03</v>
      </c>
      <c r="AE88">
        <v>0.56999999999999995</v>
      </c>
    </row>
    <row r="89" spans="1:31" x14ac:dyDescent="0.3">
      <c r="A89" t="s">
        <v>93</v>
      </c>
      <c r="B89">
        <v>4</v>
      </c>
      <c r="C89">
        <v>3</v>
      </c>
      <c r="D89">
        <v>4</v>
      </c>
      <c r="E89">
        <v>3</v>
      </c>
      <c r="F89">
        <v>0.9</v>
      </c>
      <c r="G89">
        <v>0.9</v>
      </c>
      <c r="H89">
        <v>5.0000000000000001E-3</v>
      </c>
      <c r="I89">
        <v>120</v>
      </c>
      <c r="J89">
        <v>100</v>
      </c>
      <c r="K89">
        <v>0.134939</v>
      </c>
      <c r="L89">
        <v>0.107085</v>
      </c>
      <c r="M89">
        <v>7</v>
      </c>
      <c r="N89">
        <v>0</v>
      </c>
      <c r="O89">
        <v>100</v>
      </c>
      <c r="P89">
        <v>5.4270000000000004E-3</v>
      </c>
      <c r="Q89">
        <v>8.4005999999999997E-2</v>
      </c>
      <c r="R89">
        <v>8.9432999999999999E-2</v>
      </c>
      <c r="S89" t="s">
        <v>137</v>
      </c>
      <c r="T89">
        <v>4.5505999999999998E-2</v>
      </c>
      <c r="U89">
        <v>1.635E-3</v>
      </c>
      <c r="V89">
        <v>7.6099999999999996E-4</v>
      </c>
      <c r="W89">
        <v>5.0000000000000002E-5</v>
      </c>
      <c r="X89">
        <v>0</v>
      </c>
      <c r="Y89">
        <v>66.28</v>
      </c>
      <c r="Z89" t="s">
        <v>137</v>
      </c>
      <c r="AA89">
        <v>33.72</v>
      </c>
      <c r="AB89">
        <v>1.21</v>
      </c>
      <c r="AC89">
        <v>0.56000000000000005</v>
      </c>
      <c r="AD89">
        <v>0.04</v>
      </c>
      <c r="AE89">
        <v>0</v>
      </c>
    </row>
    <row r="90" spans="1:31" x14ac:dyDescent="0.3">
      <c r="A90" t="s">
        <v>94</v>
      </c>
      <c r="B90">
        <v>4</v>
      </c>
      <c r="C90">
        <v>3</v>
      </c>
      <c r="D90">
        <v>4</v>
      </c>
      <c r="E90">
        <v>3</v>
      </c>
      <c r="F90">
        <v>0.9</v>
      </c>
      <c r="G90">
        <v>0.9</v>
      </c>
      <c r="H90">
        <v>5.0000000000000001E-3</v>
      </c>
      <c r="I90">
        <v>120</v>
      </c>
      <c r="J90">
        <v>100</v>
      </c>
      <c r="K90">
        <v>1.4801489999999999</v>
      </c>
      <c r="L90">
        <v>1.9733339999999999</v>
      </c>
      <c r="M90">
        <v>66.010000000000005</v>
      </c>
      <c r="N90">
        <v>19</v>
      </c>
      <c r="O90">
        <v>81</v>
      </c>
      <c r="P90">
        <v>5.2500000000000003E-3</v>
      </c>
      <c r="Q90">
        <v>1.0341229999999999</v>
      </c>
      <c r="R90">
        <v>1.039372</v>
      </c>
      <c r="S90" t="s">
        <v>137</v>
      </c>
      <c r="T90">
        <v>0.433313</v>
      </c>
      <c r="U90">
        <v>1.9872999999999998E-2</v>
      </c>
      <c r="V90">
        <v>1.4430000000000001E-3</v>
      </c>
      <c r="W90">
        <v>5.1900000000000004E-4</v>
      </c>
      <c r="X90">
        <v>7.4640000000000001E-3</v>
      </c>
      <c r="Y90">
        <v>70.22</v>
      </c>
      <c r="Z90" t="s">
        <v>137</v>
      </c>
      <c r="AA90">
        <v>29.27</v>
      </c>
      <c r="AB90">
        <v>1.34</v>
      </c>
      <c r="AC90">
        <v>0.1</v>
      </c>
      <c r="AD90">
        <v>0.04</v>
      </c>
      <c r="AE90">
        <v>0.5</v>
      </c>
    </row>
    <row r="91" spans="1:31" x14ac:dyDescent="0.3">
      <c r="A91" t="s">
        <v>95</v>
      </c>
      <c r="B91">
        <v>4</v>
      </c>
      <c r="C91">
        <v>3</v>
      </c>
      <c r="D91">
        <v>4</v>
      </c>
      <c r="E91">
        <v>3</v>
      </c>
      <c r="F91">
        <v>0.9</v>
      </c>
      <c r="G91">
        <v>0.9</v>
      </c>
      <c r="H91">
        <v>5.0000000000000001E-3</v>
      </c>
      <c r="I91">
        <v>120</v>
      </c>
      <c r="J91">
        <v>100</v>
      </c>
      <c r="K91">
        <v>0.33229700000000001</v>
      </c>
      <c r="L91">
        <v>0.18967100000000001</v>
      </c>
      <c r="M91">
        <v>14.22</v>
      </c>
      <c r="N91">
        <v>0</v>
      </c>
      <c r="O91">
        <v>100</v>
      </c>
      <c r="P91">
        <v>5.0020000000000004E-3</v>
      </c>
      <c r="Q91">
        <v>0.23027500000000001</v>
      </c>
      <c r="R91">
        <v>0.23527799999999999</v>
      </c>
      <c r="S91" t="s">
        <v>137</v>
      </c>
      <c r="T91">
        <v>9.7018999999999994E-2</v>
      </c>
      <c r="U91">
        <v>3.6809999999999998E-3</v>
      </c>
      <c r="V91">
        <v>1.0939999999999999E-3</v>
      </c>
      <c r="W91">
        <v>1.06E-4</v>
      </c>
      <c r="X91">
        <v>0</v>
      </c>
      <c r="Y91">
        <v>70.8</v>
      </c>
      <c r="Z91" t="s">
        <v>137</v>
      </c>
      <c r="AA91">
        <v>29.2</v>
      </c>
      <c r="AB91">
        <v>1.1100000000000001</v>
      </c>
      <c r="AC91">
        <v>0.33</v>
      </c>
      <c r="AD91">
        <v>0.03</v>
      </c>
      <c r="AE91">
        <v>0</v>
      </c>
    </row>
    <row r="92" spans="1:31" x14ac:dyDescent="0.3">
      <c r="A92" t="s">
        <v>96</v>
      </c>
      <c r="B92">
        <v>4</v>
      </c>
      <c r="C92">
        <v>3</v>
      </c>
      <c r="D92">
        <v>4</v>
      </c>
      <c r="E92">
        <v>3</v>
      </c>
      <c r="F92">
        <v>0.9</v>
      </c>
      <c r="G92">
        <v>0.9</v>
      </c>
      <c r="H92">
        <v>5.0000000000000001E-3</v>
      </c>
      <c r="I92">
        <v>120</v>
      </c>
      <c r="J92">
        <v>100</v>
      </c>
      <c r="K92">
        <v>0.19928000000000001</v>
      </c>
      <c r="L92">
        <v>0.104438</v>
      </c>
      <c r="M92">
        <v>9.2100000000000009</v>
      </c>
      <c r="N92">
        <v>0</v>
      </c>
      <c r="O92">
        <v>100</v>
      </c>
      <c r="P92">
        <v>5.1960000000000001E-3</v>
      </c>
      <c r="Q92">
        <v>0.13149</v>
      </c>
      <c r="R92">
        <v>0.136686</v>
      </c>
      <c r="S92" t="s">
        <v>137</v>
      </c>
      <c r="T92">
        <v>6.2593999999999997E-2</v>
      </c>
      <c r="U92">
        <v>2.3440000000000002E-3</v>
      </c>
      <c r="V92">
        <v>7.6099999999999996E-4</v>
      </c>
      <c r="W92">
        <v>6.8999999999999997E-5</v>
      </c>
      <c r="X92">
        <v>0</v>
      </c>
      <c r="Y92">
        <v>68.59</v>
      </c>
      <c r="Z92" t="s">
        <v>137</v>
      </c>
      <c r="AA92">
        <v>31.41</v>
      </c>
      <c r="AB92">
        <v>1.18</v>
      </c>
      <c r="AC92">
        <v>0.38</v>
      </c>
      <c r="AD92">
        <v>0.03</v>
      </c>
      <c r="AE92">
        <v>0</v>
      </c>
    </row>
    <row r="93" spans="1:31" x14ac:dyDescent="0.3">
      <c r="A93" t="s">
        <v>97</v>
      </c>
      <c r="B93">
        <v>4</v>
      </c>
      <c r="C93">
        <v>3</v>
      </c>
      <c r="D93">
        <v>4</v>
      </c>
      <c r="E93">
        <v>3</v>
      </c>
      <c r="F93">
        <v>0.9</v>
      </c>
      <c r="G93">
        <v>0.9</v>
      </c>
      <c r="H93">
        <v>5.0000000000000001E-3</v>
      </c>
      <c r="I93">
        <v>120</v>
      </c>
      <c r="J93">
        <v>100</v>
      </c>
      <c r="K93">
        <v>0.45386199999999999</v>
      </c>
      <c r="L93">
        <v>0.46072299999999999</v>
      </c>
      <c r="M93">
        <v>20.350000000000001</v>
      </c>
      <c r="N93">
        <v>1</v>
      </c>
      <c r="O93">
        <v>99</v>
      </c>
      <c r="P93">
        <v>5.091E-3</v>
      </c>
      <c r="Q93">
        <v>0.31739899999999999</v>
      </c>
      <c r="R93">
        <v>0.32249</v>
      </c>
      <c r="S93" t="s">
        <v>137</v>
      </c>
      <c r="T93">
        <v>0.130413</v>
      </c>
      <c r="U93">
        <v>5.5900000000000004E-3</v>
      </c>
      <c r="V93">
        <v>1.157E-3</v>
      </c>
      <c r="W93">
        <v>1.5100000000000001E-4</v>
      </c>
      <c r="X93">
        <v>9.59E-4</v>
      </c>
      <c r="Y93">
        <v>71.05</v>
      </c>
      <c r="Z93" t="s">
        <v>137</v>
      </c>
      <c r="AA93">
        <v>28.73</v>
      </c>
      <c r="AB93">
        <v>1.23</v>
      </c>
      <c r="AC93">
        <v>0.25</v>
      </c>
      <c r="AD93">
        <v>0.03</v>
      </c>
      <c r="AE93">
        <v>0.21</v>
      </c>
    </row>
    <row r="94" spans="1:31" x14ac:dyDescent="0.3">
      <c r="A94" t="s">
        <v>98</v>
      </c>
      <c r="B94">
        <v>4</v>
      </c>
      <c r="C94">
        <v>3</v>
      </c>
      <c r="D94">
        <v>4</v>
      </c>
      <c r="E94">
        <v>3</v>
      </c>
      <c r="F94">
        <v>0.9</v>
      </c>
      <c r="G94">
        <v>0.9</v>
      </c>
      <c r="H94">
        <v>5.0000000000000001E-3</v>
      </c>
      <c r="I94">
        <v>120</v>
      </c>
      <c r="J94">
        <v>100</v>
      </c>
      <c r="K94">
        <v>0.43301000000000001</v>
      </c>
      <c r="L94">
        <v>0.30741299999999999</v>
      </c>
      <c r="M94">
        <v>17.43</v>
      </c>
      <c r="N94">
        <v>0</v>
      </c>
      <c r="O94">
        <v>100</v>
      </c>
      <c r="P94">
        <v>4.9410000000000001E-3</v>
      </c>
      <c r="Q94">
        <v>0.30677599999999999</v>
      </c>
      <c r="R94">
        <v>0.31171700000000002</v>
      </c>
      <c r="S94" t="s">
        <v>137</v>
      </c>
      <c r="T94">
        <v>0.121293</v>
      </c>
      <c r="U94">
        <v>4.7689999999999998E-3</v>
      </c>
      <c r="V94">
        <v>1.0369999999999999E-3</v>
      </c>
      <c r="W94">
        <v>1.34E-4</v>
      </c>
      <c r="X94">
        <v>0</v>
      </c>
      <c r="Y94">
        <v>71.989999999999995</v>
      </c>
      <c r="Z94" t="s">
        <v>137</v>
      </c>
      <c r="AA94">
        <v>28.01</v>
      </c>
      <c r="AB94">
        <v>1.1000000000000001</v>
      </c>
      <c r="AC94">
        <v>0.24</v>
      </c>
      <c r="AD94">
        <v>0.03</v>
      </c>
      <c r="AE94">
        <v>0</v>
      </c>
    </row>
    <row r="95" spans="1:31" x14ac:dyDescent="0.3">
      <c r="A95" t="s">
        <v>99</v>
      </c>
      <c r="B95">
        <v>4</v>
      </c>
      <c r="C95">
        <v>3</v>
      </c>
      <c r="D95">
        <v>4</v>
      </c>
      <c r="E95">
        <v>3</v>
      </c>
      <c r="F95">
        <v>0.9</v>
      </c>
      <c r="G95">
        <v>0.9</v>
      </c>
      <c r="H95">
        <v>5.0000000000000001E-3</v>
      </c>
      <c r="I95">
        <v>120</v>
      </c>
      <c r="J95">
        <v>100</v>
      </c>
      <c r="K95">
        <v>0.51702599999999999</v>
      </c>
      <c r="L95">
        <v>0.68992699999999996</v>
      </c>
      <c r="M95">
        <v>25.44</v>
      </c>
      <c r="N95">
        <v>1</v>
      </c>
      <c r="O95">
        <v>99</v>
      </c>
      <c r="P95">
        <v>5.1929999999999997E-3</v>
      </c>
      <c r="Q95">
        <v>0.357574</v>
      </c>
      <c r="R95">
        <v>0.36276599999999998</v>
      </c>
      <c r="S95" t="s">
        <v>137</v>
      </c>
      <c r="T95">
        <v>0.152501</v>
      </c>
      <c r="U95">
        <v>7.2420000000000002E-3</v>
      </c>
      <c r="V95">
        <v>1.0529999999999999E-3</v>
      </c>
      <c r="W95">
        <v>2.2100000000000001E-4</v>
      </c>
      <c r="X95">
        <v>1.758E-3</v>
      </c>
      <c r="Y95">
        <v>70.16</v>
      </c>
      <c r="Z95" t="s">
        <v>137</v>
      </c>
      <c r="AA95">
        <v>29.5</v>
      </c>
      <c r="AB95">
        <v>1.4</v>
      </c>
      <c r="AC95">
        <v>0.2</v>
      </c>
      <c r="AD95">
        <v>0.04</v>
      </c>
      <c r="AE95">
        <v>0.34</v>
      </c>
    </row>
    <row r="96" spans="1:31" x14ac:dyDescent="0.3">
      <c r="A96" t="s">
        <v>100</v>
      </c>
      <c r="B96">
        <v>4</v>
      </c>
      <c r="C96">
        <v>3</v>
      </c>
      <c r="D96">
        <v>4</v>
      </c>
      <c r="E96">
        <v>3</v>
      </c>
      <c r="F96">
        <v>0.9</v>
      </c>
      <c r="G96">
        <v>0.9</v>
      </c>
      <c r="H96">
        <v>5.0000000000000001E-3</v>
      </c>
      <c r="I96">
        <v>120</v>
      </c>
      <c r="J96">
        <v>100</v>
      </c>
      <c r="K96">
        <v>0.843275</v>
      </c>
      <c r="L96">
        <v>2.1072449999999998</v>
      </c>
      <c r="M96">
        <v>38.200000000000003</v>
      </c>
      <c r="N96">
        <v>7</v>
      </c>
      <c r="O96">
        <v>93</v>
      </c>
      <c r="P96">
        <v>5.1739999999999998E-3</v>
      </c>
      <c r="Q96">
        <v>0.543875</v>
      </c>
      <c r="R96">
        <v>0.54904900000000001</v>
      </c>
      <c r="S96" t="s">
        <v>137</v>
      </c>
      <c r="T96">
        <v>0.28845700000000002</v>
      </c>
      <c r="U96">
        <v>1.1158E-2</v>
      </c>
      <c r="V96">
        <v>1.472E-3</v>
      </c>
      <c r="W96">
        <v>2.9599999999999998E-4</v>
      </c>
      <c r="X96">
        <v>5.7689999999999998E-3</v>
      </c>
      <c r="Y96">
        <v>65.11</v>
      </c>
      <c r="Z96" t="s">
        <v>137</v>
      </c>
      <c r="AA96">
        <v>34.21</v>
      </c>
      <c r="AB96">
        <v>1.32</v>
      </c>
      <c r="AC96">
        <v>0.17</v>
      </c>
      <c r="AD96">
        <v>0.04</v>
      </c>
      <c r="AE96">
        <v>0.68</v>
      </c>
    </row>
    <row r="97" spans="1:31" x14ac:dyDescent="0.3">
      <c r="A97" t="s">
        <v>101</v>
      </c>
      <c r="B97">
        <v>4</v>
      </c>
      <c r="C97">
        <v>3</v>
      </c>
      <c r="D97">
        <v>4</v>
      </c>
      <c r="E97">
        <v>3</v>
      </c>
      <c r="F97">
        <v>0.9</v>
      </c>
      <c r="G97">
        <v>0.9</v>
      </c>
      <c r="H97">
        <v>5.0000000000000001E-3</v>
      </c>
      <c r="I97">
        <v>120</v>
      </c>
      <c r="J97">
        <v>100</v>
      </c>
      <c r="K97">
        <v>0.59959799999999996</v>
      </c>
      <c r="L97">
        <v>1.7333190000000001</v>
      </c>
      <c r="M97">
        <v>23.94</v>
      </c>
      <c r="N97">
        <v>2</v>
      </c>
      <c r="O97">
        <v>98</v>
      </c>
      <c r="P97">
        <v>5.0029999999999996E-3</v>
      </c>
      <c r="Q97">
        <v>0.39260800000000001</v>
      </c>
      <c r="R97">
        <v>0.39761099999999999</v>
      </c>
      <c r="S97" t="s">
        <v>137</v>
      </c>
      <c r="T97">
        <v>0.20147699999999999</v>
      </c>
      <c r="U97">
        <v>6.8849999999999996E-3</v>
      </c>
      <c r="V97">
        <v>9.810000000000001E-4</v>
      </c>
      <c r="W97">
        <v>1.85E-4</v>
      </c>
      <c r="X97">
        <v>5.1000000000000004E-4</v>
      </c>
      <c r="Y97">
        <v>66.31</v>
      </c>
      <c r="Z97" t="s">
        <v>137</v>
      </c>
      <c r="AA97">
        <v>33.6</v>
      </c>
      <c r="AB97">
        <v>1.1499999999999999</v>
      </c>
      <c r="AC97">
        <v>0.16</v>
      </c>
      <c r="AD97">
        <v>0.03</v>
      </c>
      <c r="AE97">
        <v>0.09</v>
      </c>
    </row>
    <row r="98" spans="1:31" x14ac:dyDescent="0.3">
      <c r="A98" t="s">
        <v>102</v>
      </c>
      <c r="B98">
        <v>4</v>
      </c>
      <c r="C98">
        <v>3</v>
      </c>
      <c r="D98">
        <v>4</v>
      </c>
      <c r="E98">
        <v>3</v>
      </c>
      <c r="F98">
        <v>0.9</v>
      </c>
      <c r="G98">
        <v>0.9</v>
      </c>
      <c r="H98">
        <v>5.0000000000000001E-3</v>
      </c>
      <c r="I98">
        <v>120</v>
      </c>
      <c r="J98">
        <v>100</v>
      </c>
      <c r="K98">
        <v>0.12875</v>
      </c>
      <c r="L98">
        <v>4.9550999999999998E-2</v>
      </c>
      <c r="M98">
        <v>6.82</v>
      </c>
      <c r="N98">
        <v>0</v>
      </c>
      <c r="O98">
        <v>100</v>
      </c>
      <c r="P98">
        <v>5.4159999999999998E-3</v>
      </c>
      <c r="Q98">
        <v>8.0033999999999994E-2</v>
      </c>
      <c r="R98">
        <v>8.5449999999999998E-2</v>
      </c>
      <c r="S98" t="s">
        <v>137</v>
      </c>
      <c r="T98">
        <v>4.3298999999999997E-2</v>
      </c>
      <c r="U98">
        <v>1.5790000000000001E-3</v>
      </c>
      <c r="V98">
        <v>7.9100000000000004E-4</v>
      </c>
      <c r="W98">
        <v>4.8000000000000001E-5</v>
      </c>
      <c r="X98">
        <v>0</v>
      </c>
      <c r="Y98">
        <v>66.37</v>
      </c>
      <c r="Z98" t="s">
        <v>137</v>
      </c>
      <c r="AA98">
        <v>33.630000000000003</v>
      </c>
      <c r="AB98">
        <v>1.23</v>
      </c>
      <c r="AC98">
        <v>0.61</v>
      </c>
      <c r="AD98">
        <v>0.04</v>
      </c>
      <c r="AE98">
        <v>0</v>
      </c>
    </row>
    <row r="99" spans="1:31" x14ac:dyDescent="0.3">
      <c r="A99" t="s">
        <v>103</v>
      </c>
      <c r="B99">
        <v>4</v>
      </c>
      <c r="C99">
        <v>3</v>
      </c>
      <c r="D99">
        <v>4</v>
      </c>
      <c r="E99">
        <v>3</v>
      </c>
      <c r="F99">
        <v>0.9</v>
      </c>
      <c r="G99">
        <v>0.9</v>
      </c>
      <c r="H99">
        <v>5.0000000000000001E-3</v>
      </c>
      <c r="I99">
        <v>120</v>
      </c>
      <c r="J99">
        <v>100</v>
      </c>
      <c r="K99">
        <v>0.93204900000000002</v>
      </c>
      <c r="L99">
        <v>1.748605</v>
      </c>
      <c r="M99">
        <v>40.99</v>
      </c>
      <c r="N99">
        <v>10</v>
      </c>
      <c r="O99">
        <v>90</v>
      </c>
      <c r="P99">
        <v>5.2170000000000003E-3</v>
      </c>
      <c r="Q99">
        <v>0.64262799999999998</v>
      </c>
      <c r="R99">
        <v>0.647845</v>
      </c>
      <c r="S99" t="s">
        <v>137</v>
      </c>
      <c r="T99">
        <v>0.28092600000000001</v>
      </c>
      <c r="U99">
        <v>1.2203E-2</v>
      </c>
      <c r="V99">
        <v>1.1349999999999999E-3</v>
      </c>
      <c r="W99">
        <v>2.9100000000000003E-4</v>
      </c>
      <c r="X99">
        <v>3.277E-3</v>
      </c>
      <c r="Y99">
        <v>69.510000000000005</v>
      </c>
      <c r="Z99" t="s">
        <v>137</v>
      </c>
      <c r="AA99">
        <v>30.14</v>
      </c>
      <c r="AB99">
        <v>1.31</v>
      </c>
      <c r="AC99">
        <v>0.12</v>
      </c>
      <c r="AD99">
        <v>0.03</v>
      </c>
      <c r="AE99">
        <v>0.35</v>
      </c>
    </row>
    <row r="100" spans="1:31" x14ac:dyDescent="0.3">
      <c r="A100" t="s">
        <v>104</v>
      </c>
      <c r="B100">
        <v>4</v>
      </c>
      <c r="C100">
        <v>3</v>
      </c>
      <c r="D100">
        <v>4</v>
      </c>
      <c r="E100">
        <v>3</v>
      </c>
      <c r="F100">
        <v>0.9</v>
      </c>
      <c r="G100">
        <v>0.9</v>
      </c>
      <c r="H100">
        <v>5.0000000000000001E-3</v>
      </c>
      <c r="I100">
        <v>120</v>
      </c>
      <c r="J100">
        <v>100</v>
      </c>
      <c r="K100">
        <v>1.00248</v>
      </c>
      <c r="L100">
        <v>1.4707669999999999</v>
      </c>
      <c r="M100">
        <v>36.450000000000003</v>
      </c>
      <c r="N100">
        <v>7</v>
      </c>
      <c r="O100">
        <v>93</v>
      </c>
      <c r="P100">
        <v>4.9519999999999998E-3</v>
      </c>
      <c r="Q100">
        <v>0.70835000000000004</v>
      </c>
      <c r="R100">
        <v>0.71330300000000002</v>
      </c>
      <c r="S100" t="s">
        <v>137</v>
      </c>
      <c r="T100">
        <v>0.28727599999999998</v>
      </c>
      <c r="U100">
        <v>1.0564E-2</v>
      </c>
      <c r="V100">
        <v>1.3320000000000001E-3</v>
      </c>
      <c r="W100">
        <v>2.7399999999999999E-4</v>
      </c>
      <c r="X100">
        <v>1.9009999999999999E-3</v>
      </c>
      <c r="Y100">
        <v>71.150000000000006</v>
      </c>
      <c r="Z100" t="s">
        <v>137</v>
      </c>
      <c r="AA100">
        <v>28.66</v>
      </c>
      <c r="AB100">
        <v>1.05</v>
      </c>
      <c r="AC100">
        <v>0.13</v>
      </c>
      <c r="AD100">
        <v>0.03</v>
      </c>
      <c r="AE100">
        <v>0.19</v>
      </c>
    </row>
    <row r="101" spans="1:31" x14ac:dyDescent="0.3">
      <c r="A101" t="s">
        <v>105</v>
      </c>
      <c r="B101">
        <v>4</v>
      </c>
      <c r="C101">
        <v>3</v>
      </c>
      <c r="D101">
        <v>4</v>
      </c>
      <c r="E101">
        <v>3</v>
      </c>
      <c r="F101">
        <v>0.9</v>
      </c>
      <c r="G101">
        <v>0.9</v>
      </c>
      <c r="H101">
        <v>5.0000000000000001E-3</v>
      </c>
      <c r="I101">
        <v>120</v>
      </c>
      <c r="J101">
        <v>100</v>
      </c>
      <c r="K101">
        <v>0.24118100000000001</v>
      </c>
      <c r="L101">
        <v>0.25014399999999998</v>
      </c>
      <c r="M101">
        <v>11.56</v>
      </c>
      <c r="N101">
        <v>0</v>
      </c>
      <c r="O101">
        <v>100</v>
      </c>
      <c r="P101">
        <v>5.3099999999999996E-3</v>
      </c>
      <c r="Q101">
        <v>0.161609</v>
      </c>
      <c r="R101">
        <v>0.16691900000000001</v>
      </c>
      <c r="S101" t="s">
        <v>137</v>
      </c>
      <c r="T101">
        <v>7.4261999999999995E-2</v>
      </c>
      <c r="U101">
        <v>3.032E-3</v>
      </c>
      <c r="V101">
        <v>9.1E-4</v>
      </c>
      <c r="W101">
        <v>8.7999999999999998E-5</v>
      </c>
      <c r="X101">
        <v>0</v>
      </c>
      <c r="Y101">
        <v>69.209999999999994</v>
      </c>
      <c r="Z101" t="s">
        <v>137</v>
      </c>
      <c r="AA101">
        <v>30.79</v>
      </c>
      <c r="AB101">
        <v>1.26</v>
      </c>
      <c r="AC101">
        <v>0.38</v>
      </c>
      <c r="AD101">
        <v>0.04</v>
      </c>
      <c r="AE101">
        <v>0</v>
      </c>
    </row>
  </sheetData>
  <sortState xmlns:xlrd2="http://schemas.microsoft.com/office/spreadsheetml/2017/richdata2" ref="A2:AE101">
    <sortCondition ref="A54:A10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98948-F111-438C-979B-44FA00F66655}">
  <dimension ref="B3:N108"/>
  <sheetViews>
    <sheetView tabSelected="1" topLeftCell="A75" zoomScale="65" workbookViewId="0">
      <selection activeCell="M9" sqref="M9"/>
    </sheetView>
  </sheetViews>
  <sheetFormatPr defaultRowHeight="14.4" x14ac:dyDescent="0.3"/>
  <cols>
    <col min="2" max="2" width="19.33203125" customWidth="1"/>
  </cols>
  <sheetData>
    <row r="3" spans="2:14" x14ac:dyDescent="0.3">
      <c r="B3" s="3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2:14" x14ac:dyDescent="0.3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2:14" x14ac:dyDescent="0.3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2:14" x14ac:dyDescent="0.3">
      <c r="B6" s="1"/>
    </row>
    <row r="7" spans="2:14" x14ac:dyDescent="0.3">
      <c r="B7" s="4" t="s">
        <v>1</v>
      </c>
      <c r="C7" s="4" t="s">
        <v>2</v>
      </c>
      <c r="D7" s="4"/>
      <c r="E7" s="4"/>
      <c r="F7" s="5" t="s">
        <v>3</v>
      </c>
      <c r="G7" s="5"/>
      <c r="H7" s="5"/>
      <c r="I7" s="6" t="s">
        <v>4</v>
      </c>
      <c r="J7" s="7"/>
      <c r="K7" s="8"/>
      <c r="L7" s="5" t="s">
        <v>5</v>
      </c>
      <c r="M7" s="5"/>
      <c r="N7" s="5"/>
    </row>
    <row r="8" spans="2:14" x14ac:dyDescent="0.3">
      <c r="B8" s="4"/>
      <c r="C8" s="2">
        <v>0</v>
      </c>
      <c r="D8" s="2">
        <v>3</v>
      </c>
      <c r="E8" s="2">
        <v>4</v>
      </c>
      <c r="F8" s="2">
        <v>0</v>
      </c>
      <c r="G8" s="2">
        <v>3</v>
      </c>
      <c r="H8" s="2">
        <v>4</v>
      </c>
      <c r="I8" s="2">
        <v>0</v>
      </c>
      <c r="J8" s="2">
        <v>3</v>
      </c>
      <c r="K8" s="2">
        <v>4</v>
      </c>
      <c r="L8" s="2">
        <v>0</v>
      </c>
      <c r="M8" s="2">
        <v>3</v>
      </c>
      <c r="N8" s="2">
        <v>4</v>
      </c>
    </row>
    <row r="9" spans="2:14" x14ac:dyDescent="0.3">
      <c r="B9" t="s">
        <v>6</v>
      </c>
      <c r="C9" s="2">
        <f>MAX('CP-ACS'!J2)</f>
        <v>99</v>
      </c>
      <c r="D9" s="2">
        <f>MAX('CP-DCM-ACO'!J2)</f>
        <v>100</v>
      </c>
      <c r="E9" s="2">
        <f>MAX('MT-CP-DCM-ACO'!J2)</f>
        <v>100</v>
      </c>
      <c r="F9" s="2">
        <f>MIN('CP-ACS'!K2)</f>
        <v>3.3822429999999999</v>
      </c>
      <c r="G9" s="2">
        <f>MIN('CP-DCM-ACO'!K2)</f>
        <v>4.1619809999999999</v>
      </c>
      <c r="H9" s="2">
        <f>MIN('MT-CP-DCM-ACO'!K2)</f>
        <v>1.859839</v>
      </c>
      <c r="I9" s="2">
        <f>MIN('CP-ACS'!L2)</f>
        <v>6.2100989999999996</v>
      </c>
      <c r="J9" s="2">
        <f>MIN('CP-DCM-ACO'!L2)</f>
        <v>2.9490210000000001</v>
      </c>
      <c r="K9" s="2">
        <f>MIN('MT-CP-DCM-ACO'!L2)</f>
        <v>0.97038599999999997</v>
      </c>
      <c r="L9" s="2">
        <f>MIN('CP-ACS'!M2)</f>
        <v>81</v>
      </c>
      <c r="M9" s="2">
        <f>MIN('CP-DCM-ACO'!M2)</f>
        <v>71.42</v>
      </c>
      <c r="N9" s="2">
        <f>MIN('MT-CP-DCM-ACO'!M2)</f>
        <v>35.520000000000003</v>
      </c>
    </row>
    <row r="10" spans="2:14" x14ac:dyDescent="0.3">
      <c r="B10" t="s">
        <v>7</v>
      </c>
      <c r="C10" s="2">
        <f>MAX('CP-ACS'!J3)</f>
        <v>96</v>
      </c>
      <c r="D10" s="2">
        <f>MAX('CP-DCM-ACO'!J3)</f>
        <v>100</v>
      </c>
      <c r="E10" s="2">
        <f>MAX('MT-CP-DCM-ACO'!J3)</f>
        <v>100</v>
      </c>
      <c r="F10" s="2">
        <f>MIN('CP-ACS'!K3)</f>
        <v>6.014875</v>
      </c>
      <c r="G10" s="2">
        <f>MIN('CP-DCM-ACO'!K3)</f>
        <v>8.3678380000000008</v>
      </c>
      <c r="H10" s="2">
        <f>MIN('MT-CP-DCM-ACO'!K3)</f>
        <v>3.1774420000000001</v>
      </c>
      <c r="I10" s="2">
        <f>MIN('CP-ACS'!L3)</f>
        <v>8.5443449999999999</v>
      </c>
      <c r="J10" s="2">
        <f>MIN('CP-DCM-ACO'!L3)</f>
        <v>5.9555749999999996</v>
      </c>
      <c r="K10" s="2">
        <f>MIN('MT-CP-DCM-ACO'!L3)</f>
        <v>1.569677</v>
      </c>
      <c r="L10" s="2">
        <f>MIN('CP-ACS'!M3)</f>
        <v>140.94999999999999</v>
      </c>
      <c r="M10" s="2">
        <f>MIN('CP-DCM-ACO'!M3)</f>
        <v>130.71</v>
      </c>
      <c r="N10" s="2">
        <f>MIN('MT-CP-DCM-ACO'!M3)</f>
        <v>59.69</v>
      </c>
    </row>
    <row r="11" spans="2:14" x14ac:dyDescent="0.3">
      <c r="B11" t="s">
        <v>8</v>
      </c>
      <c r="C11" s="2">
        <f>MAX('CP-ACS'!J4)</f>
        <v>96</v>
      </c>
      <c r="D11" s="2">
        <f>MAX('CP-DCM-ACO'!J4)</f>
        <v>100</v>
      </c>
      <c r="E11" s="2">
        <f>MAX('MT-CP-DCM-ACO'!J4)</f>
        <v>100</v>
      </c>
      <c r="F11" s="2">
        <f>MIN('CP-ACS'!K4)</f>
        <v>7.6785100000000002</v>
      </c>
      <c r="G11" s="2">
        <f>MIN('CP-DCM-ACO'!K4)</f>
        <v>10.367957000000001</v>
      </c>
      <c r="H11" s="2">
        <f>MIN('MT-CP-DCM-ACO'!K4)</f>
        <v>4.2433209999999999</v>
      </c>
      <c r="I11" s="2">
        <f>MIN('CP-ACS'!L4)</f>
        <v>9.2067119999999996</v>
      </c>
      <c r="J11" s="2">
        <f>MIN('CP-DCM-ACO'!L4)</f>
        <v>8.3459400000000006</v>
      </c>
      <c r="K11" s="2">
        <f>MIN('MT-CP-DCM-ACO'!L4)</f>
        <v>2.8022689999999999</v>
      </c>
      <c r="L11" s="2">
        <f>MIN('CP-ACS'!M4)</f>
        <v>180.09</v>
      </c>
      <c r="M11" s="2">
        <f>MIN('CP-DCM-ACO'!M4)</f>
        <v>163.46</v>
      </c>
      <c r="N11" s="2">
        <f>MIN('MT-CP-DCM-ACO'!M4)</f>
        <v>80.400000000000006</v>
      </c>
    </row>
    <row r="12" spans="2:14" x14ac:dyDescent="0.3">
      <c r="B12" t="s">
        <v>9</v>
      </c>
      <c r="C12" s="2">
        <f>MAX('CP-ACS'!J5)</f>
        <v>97</v>
      </c>
      <c r="D12" s="2">
        <f>MAX('CP-DCM-ACO'!J5)</f>
        <v>100</v>
      </c>
      <c r="E12" s="2">
        <f>MAX('MT-CP-DCM-ACO'!J5)</f>
        <v>100</v>
      </c>
      <c r="F12" s="2">
        <f>MIN('CP-ACS'!K5)</f>
        <v>4.357386</v>
      </c>
      <c r="G12" s="2">
        <f>MIN('CP-DCM-ACO'!K5)</f>
        <v>7.9647059999999996</v>
      </c>
      <c r="H12" s="2">
        <f>MIN('MT-CP-DCM-ACO'!K5)</f>
        <v>3.071682</v>
      </c>
      <c r="I12" s="2">
        <f>MIN('CP-ACS'!L5)</f>
        <v>4.6830069999999999</v>
      </c>
      <c r="J12" s="2">
        <f>MIN('CP-DCM-ACO'!L5)</f>
        <v>5.5144419999999998</v>
      </c>
      <c r="K12" s="2">
        <f>MIN('MT-CP-DCM-ACO'!L5)</f>
        <v>1.9930380000000001</v>
      </c>
      <c r="L12" s="2">
        <f>MIN('CP-ACS'!M5)</f>
        <v>104.8</v>
      </c>
      <c r="M12" s="2">
        <f>MIN('CP-DCM-ACO'!M5)</f>
        <v>120.13</v>
      </c>
      <c r="N12" s="2">
        <f>MIN('MT-CP-DCM-ACO'!M5)</f>
        <v>57.1</v>
      </c>
    </row>
    <row r="13" spans="2:14" x14ac:dyDescent="0.3">
      <c r="B13" t="s">
        <v>10</v>
      </c>
      <c r="C13" s="2">
        <f>MAX('CP-ACS'!J6)</f>
        <v>92</v>
      </c>
      <c r="D13" s="2">
        <f>MAX('CP-DCM-ACO'!J6)</f>
        <v>100</v>
      </c>
      <c r="E13" s="2">
        <f>MAX('MT-CP-DCM-ACO'!J6)</f>
        <v>100</v>
      </c>
      <c r="F13" s="2">
        <f>MIN('CP-ACS'!K6)</f>
        <v>9.802543</v>
      </c>
      <c r="G13" s="2">
        <f>MIN('CP-DCM-ACO'!K6)</f>
        <v>11.45163</v>
      </c>
      <c r="H13" s="2">
        <f>MIN('MT-CP-DCM-ACO'!K6)</f>
        <v>4.7039439999999999</v>
      </c>
      <c r="I13" s="2">
        <f>MIN('CP-ACS'!L6)</f>
        <v>19.625461000000001</v>
      </c>
      <c r="J13" s="2">
        <f>MIN('CP-DCM-ACO'!L6)</f>
        <v>9.4013159999999996</v>
      </c>
      <c r="K13" s="2">
        <f>MIN('MT-CP-DCM-ACO'!L6)</f>
        <v>2.7900930000000002</v>
      </c>
      <c r="L13" s="2">
        <f>MIN('CP-ACS'!M6)</f>
        <v>228.77</v>
      </c>
      <c r="M13" s="2">
        <f>MIN('CP-DCM-ACO'!M6)</f>
        <v>164.67</v>
      </c>
      <c r="N13" s="2">
        <f>MIN('MT-CP-DCM-ACO'!M6)</f>
        <v>90.86</v>
      </c>
    </row>
    <row r="14" spans="2:14" x14ac:dyDescent="0.3">
      <c r="B14" t="s">
        <v>11</v>
      </c>
      <c r="C14" s="2">
        <f>MAX('CP-ACS'!J7)</f>
        <v>93</v>
      </c>
      <c r="D14" s="2">
        <f>MAX('CP-DCM-ACO'!J7)</f>
        <v>100</v>
      </c>
      <c r="E14" s="2">
        <f>MAX('MT-CP-DCM-ACO'!J7)</f>
        <v>100</v>
      </c>
      <c r="F14" s="2">
        <f>MIN('CP-ACS'!K7)</f>
        <v>8.0626909999999992</v>
      </c>
      <c r="G14" s="2">
        <f>MIN('CP-DCM-ACO'!K7)</f>
        <v>7.3232299999999997</v>
      </c>
      <c r="H14" s="2">
        <f>MIN('MT-CP-DCM-ACO'!K7)</f>
        <v>3.5129899999999998</v>
      </c>
      <c r="I14" s="2">
        <f>MIN('CP-ACS'!L7)</f>
        <v>13.05574</v>
      </c>
      <c r="J14" s="2">
        <f>MIN('CP-DCM-ACO'!L7)</f>
        <v>6.1466099999999999</v>
      </c>
      <c r="K14" s="2">
        <f>MIN('MT-CP-DCM-ACO'!L7)</f>
        <v>1.7781499999999999</v>
      </c>
      <c r="L14" s="2">
        <f>MIN('CP-ACS'!M7)</f>
        <v>187.19</v>
      </c>
      <c r="M14" s="2">
        <f>MIN('CP-DCM-ACO'!M7)</f>
        <v>125.91</v>
      </c>
      <c r="N14" s="2">
        <f>MIN('MT-CP-DCM-ACO'!M7)</f>
        <v>66.58</v>
      </c>
    </row>
    <row r="15" spans="2:14" x14ac:dyDescent="0.3">
      <c r="B15" t="s">
        <v>12</v>
      </c>
      <c r="C15" s="2">
        <f>MAX('CP-ACS'!J8)</f>
        <v>99</v>
      </c>
      <c r="D15" s="2">
        <f>MAX('CP-DCM-ACO'!J8)</f>
        <v>100</v>
      </c>
      <c r="E15" s="2">
        <f>MAX('MT-CP-DCM-ACO'!J8)</f>
        <v>100</v>
      </c>
      <c r="F15" s="2">
        <f>MIN('CP-ACS'!K8)</f>
        <v>3.2147039999999998</v>
      </c>
      <c r="G15" s="2">
        <f>MIN('CP-DCM-ACO'!K8)</f>
        <v>4.5846299999999998</v>
      </c>
      <c r="H15" s="2">
        <f>MIN('MT-CP-DCM-ACO'!K8)</f>
        <v>2.3970180000000001</v>
      </c>
      <c r="I15" s="2">
        <f>MIN('CP-ACS'!L8)</f>
        <v>5.6347550000000002</v>
      </c>
      <c r="J15" s="2">
        <f>MIN('CP-DCM-ACO'!L8)</f>
        <v>3.0042589999999998</v>
      </c>
      <c r="K15" s="2">
        <f>MIN('MT-CP-DCM-ACO'!L8)</f>
        <v>1.4004289999999999</v>
      </c>
      <c r="L15" s="2">
        <f>MIN('CP-ACS'!M8)</f>
        <v>77.89</v>
      </c>
      <c r="M15" s="2">
        <f>MIN('CP-DCM-ACO'!M8)</f>
        <v>81.88</v>
      </c>
      <c r="N15" s="2">
        <f>MIN('MT-CP-DCM-ACO'!M8)</f>
        <v>45.73</v>
      </c>
    </row>
    <row r="16" spans="2:14" x14ac:dyDescent="0.3">
      <c r="B16" t="s">
        <v>13</v>
      </c>
      <c r="C16" s="2">
        <f>MAX('CP-ACS'!J9)</f>
        <v>96</v>
      </c>
      <c r="D16" s="2">
        <f>MAX('CP-DCM-ACO'!J9)</f>
        <v>100</v>
      </c>
      <c r="E16" s="2">
        <f>MAX('MT-CP-DCM-ACO'!J9)</f>
        <v>100</v>
      </c>
      <c r="F16" s="2">
        <f>MIN('CP-ACS'!K9)</f>
        <v>3.684984</v>
      </c>
      <c r="G16" s="2">
        <f>MIN('CP-DCM-ACO'!K9)</f>
        <v>5.2085869999999996</v>
      </c>
      <c r="H16" s="2">
        <f>MIN('MT-CP-DCM-ACO'!K9)</f>
        <v>2.3723420000000002</v>
      </c>
      <c r="I16" s="2">
        <f>MIN('CP-ACS'!L9)</f>
        <v>5.4529069999999997</v>
      </c>
      <c r="J16" s="2">
        <f>MIN('CP-DCM-ACO'!L9)</f>
        <v>3.6983839999999999</v>
      </c>
      <c r="K16" s="2">
        <f>MIN('MT-CP-DCM-ACO'!L9)</f>
        <v>1.6103320000000001</v>
      </c>
      <c r="L16" s="2">
        <f>MIN('CP-ACS'!M9)</f>
        <v>92.35</v>
      </c>
      <c r="M16" s="2">
        <f>MIN('CP-DCM-ACO'!M9)</f>
        <v>96.41</v>
      </c>
      <c r="N16" s="2">
        <f>MIN('MT-CP-DCM-ACO'!M9)</f>
        <v>46.93</v>
      </c>
    </row>
    <row r="17" spans="2:14" x14ac:dyDescent="0.3">
      <c r="B17" t="s">
        <v>14</v>
      </c>
      <c r="C17" s="2">
        <f>MAX('CP-ACS'!J10)</f>
        <v>97</v>
      </c>
      <c r="D17" s="2">
        <f>MAX('CP-DCM-ACO'!J10)</f>
        <v>100</v>
      </c>
      <c r="E17" s="2">
        <f>MAX('MT-CP-DCM-ACO'!J10)</f>
        <v>100</v>
      </c>
      <c r="F17" s="2">
        <f>MIN('CP-ACS'!K10)</f>
        <v>6.9178940000000004</v>
      </c>
      <c r="G17" s="2">
        <f>MIN('CP-DCM-ACO'!K10)</f>
        <v>7.3703070000000004</v>
      </c>
      <c r="H17" s="2">
        <f>MIN('MT-CP-DCM-ACO'!K10)</f>
        <v>3.5785999999999998</v>
      </c>
      <c r="I17" s="2">
        <f>MIN('CP-ACS'!L10)</f>
        <v>16.209624999999999</v>
      </c>
      <c r="J17" s="2">
        <f>MIN('CP-DCM-ACO'!L10)</f>
        <v>4.9558600000000004</v>
      </c>
      <c r="K17" s="2">
        <f>MIN('MT-CP-DCM-ACO'!L10)</f>
        <v>2.1400980000000001</v>
      </c>
      <c r="L17" s="2">
        <f>MIN('CP-ACS'!M10)</f>
        <v>173.94</v>
      </c>
      <c r="M17" s="2">
        <f>MIN('CP-DCM-ACO'!M10)</f>
        <v>124.22</v>
      </c>
      <c r="N17" s="2">
        <f>MIN('MT-CP-DCM-ACO'!M10)</f>
        <v>71</v>
      </c>
    </row>
    <row r="18" spans="2:14" x14ac:dyDescent="0.3">
      <c r="B18" t="s">
        <v>15</v>
      </c>
      <c r="C18" s="2">
        <f>MAX('CP-ACS'!J11)</f>
        <v>97</v>
      </c>
      <c r="D18" s="2">
        <f>MAX('CP-DCM-ACO'!J11)</f>
        <v>100</v>
      </c>
      <c r="E18" s="2">
        <f>MAX('MT-CP-DCM-ACO'!J11)</f>
        <v>100</v>
      </c>
      <c r="F18" s="2">
        <f>MIN('CP-ACS'!K11)</f>
        <v>5.4257039999999996</v>
      </c>
      <c r="G18" s="2">
        <f>MIN('CP-DCM-ACO'!K11)</f>
        <v>5.6944039999999996</v>
      </c>
      <c r="H18" s="2">
        <f>MIN('MT-CP-DCM-ACO'!K11)</f>
        <v>2.2999700000000001</v>
      </c>
      <c r="I18" s="2">
        <f>MIN('CP-ACS'!L11)</f>
        <v>16.567532</v>
      </c>
      <c r="J18" s="2">
        <f>MIN('CP-DCM-ACO'!L11)</f>
        <v>4.0744300000000004</v>
      </c>
      <c r="K18" s="2">
        <f>MIN('MT-CP-DCM-ACO'!L11)</f>
        <v>1.1167069999999999</v>
      </c>
      <c r="L18" s="2">
        <f>MIN('CP-ACS'!M11)</f>
        <v>128.63999999999999</v>
      </c>
      <c r="M18" s="2">
        <f>MIN('CP-DCM-ACO'!M11)</f>
        <v>89.8</v>
      </c>
      <c r="N18" s="2">
        <f>MIN('MT-CP-DCM-ACO'!M11)</f>
        <v>45.09</v>
      </c>
    </row>
    <row r="19" spans="2:14" x14ac:dyDescent="0.3">
      <c r="B19" t="s">
        <v>16</v>
      </c>
      <c r="C19" s="2">
        <f>MAX('CP-ACS'!J12)</f>
        <v>37</v>
      </c>
      <c r="D19" s="2">
        <f>MAX('CP-DCM-ACO'!J12)</f>
        <v>75</v>
      </c>
      <c r="E19" s="2">
        <f>MAX('MT-CP-DCM-ACO'!J12)</f>
        <v>98</v>
      </c>
      <c r="F19" s="2">
        <f>MIN('CP-ACS'!K12)</f>
        <v>19.547435</v>
      </c>
      <c r="G19" s="2">
        <f>MIN('CP-DCM-ACO'!K12)</f>
        <v>28.971509999999999</v>
      </c>
      <c r="H19" s="2">
        <f>MIN('MT-CP-DCM-ACO'!K12)</f>
        <v>14.414916</v>
      </c>
      <c r="I19" s="2">
        <f>MIN('CP-ACS'!L12)</f>
        <v>21.964074</v>
      </c>
      <c r="J19" s="2">
        <f>MIN('CP-DCM-ACO'!L12)</f>
        <v>23.518611</v>
      </c>
      <c r="K19" s="2">
        <f>MIN('MT-CP-DCM-ACO'!L12)</f>
        <v>19.43234</v>
      </c>
      <c r="L19" s="2">
        <f>MIN('CP-ACS'!M12)</f>
        <v>624.08000000000004</v>
      </c>
      <c r="M19" s="2">
        <f>MIN('CP-DCM-ACO'!M12)</f>
        <v>473.85</v>
      </c>
      <c r="N19" s="2">
        <f>MIN('MT-CP-DCM-ACO'!M12)</f>
        <v>385.11</v>
      </c>
    </row>
    <row r="20" spans="2:14" x14ac:dyDescent="0.3">
      <c r="B20" t="s">
        <v>17</v>
      </c>
      <c r="C20" s="2">
        <f>MAX('CP-ACS'!J13)</f>
        <v>84</v>
      </c>
      <c r="D20" s="2">
        <f>MAX('CP-DCM-ACO'!J13)</f>
        <v>99</v>
      </c>
      <c r="E20" s="2">
        <f>MAX('MT-CP-DCM-ACO'!J13)</f>
        <v>100</v>
      </c>
      <c r="F20" s="2">
        <f>MIN('CP-ACS'!K13)</f>
        <v>10.310214999999999</v>
      </c>
      <c r="G20" s="2">
        <f>MIN('CP-DCM-ACO'!K13)</f>
        <v>9.9517670000000003</v>
      </c>
      <c r="H20" s="2">
        <f>MIN('MT-CP-DCM-ACO'!K13)</f>
        <v>2.2300420000000001</v>
      </c>
      <c r="I20" s="2">
        <f>MIN('CP-ACS'!L13)</f>
        <v>19.044917999999999</v>
      </c>
      <c r="J20" s="2">
        <f>MIN('CP-DCM-ACO'!L13)</f>
        <v>9.3724589999999992</v>
      </c>
      <c r="K20" s="2">
        <f>MIN('MT-CP-DCM-ACO'!L13)</f>
        <v>1.352255</v>
      </c>
      <c r="L20" s="2">
        <f>MIN('CP-ACS'!M13)</f>
        <v>338.83</v>
      </c>
      <c r="M20" s="2">
        <f>MIN('CP-DCM-ACO'!M13)</f>
        <v>159.79</v>
      </c>
      <c r="N20" s="2">
        <f>MIN('MT-CP-DCM-ACO'!M13)</f>
        <v>62.59</v>
      </c>
    </row>
    <row r="21" spans="2:14" x14ac:dyDescent="0.3">
      <c r="B21" t="s">
        <v>18</v>
      </c>
      <c r="C21" s="2">
        <f>MAX('CP-ACS'!J14)</f>
        <v>93</v>
      </c>
      <c r="D21" s="2">
        <f>MAX('CP-DCM-ACO'!J14)</f>
        <v>100</v>
      </c>
      <c r="E21" s="2">
        <f>MAX('MT-CP-DCM-ACO'!J14)</f>
        <v>100</v>
      </c>
      <c r="F21" s="2">
        <f>MIN('CP-ACS'!K14)</f>
        <v>4.9662540000000002</v>
      </c>
      <c r="G21" s="2">
        <f>MIN('CP-DCM-ACO'!K14)</f>
        <v>4.9087129999999997</v>
      </c>
      <c r="H21" s="2">
        <f>MIN('MT-CP-DCM-ACO'!K14)</f>
        <v>0.92515000000000003</v>
      </c>
      <c r="I21" s="2">
        <f>MIN('CP-ACS'!L14)</f>
        <v>11.362121999999999</v>
      </c>
      <c r="J21" s="2">
        <f>MIN('CP-DCM-ACO'!L14)</f>
        <v>9.0254209999999997</v>
      </c>
      <c r="K21" s="2">
        <f>MIN('MT-CP-DCM-ACO'!L14)</f>
        <v>0.54800199999999999</v>
      </c>
      <c r="L21" s="2">
        <f>MIN('CP-ACS'!M14)</f>
        <v>173.97</v>
      </c>
      <c r="M21" s="2">
        <f>MIN('CP-DCM-ACO'!M14)</f>
        <v>67.34</v>
      </c>
      <c r="N21" s="2">
        <f>MIN('MT-CP-DCM-ACO'!M14)</f>
        <v>25.13</v>
      </c>
    </row>
    <row r="22" spans="2:14" x14ac:dyDescent="0.3">
      <c r="B22" t="s">
        <v>19</v>
      </c>
      <c r="C22" s="2">
        <f>MAX('CP-ACS'!J15)</f>
        <v>67</v>
      </c>
      <c r="D22" s="2">
        <f>MAX('CP-DCM-ACO'!J15)</f>
        <v>97</v>
      </c>
      <c r="E22" s="2">
        <f>MAX('MT-CP-DCM-ACO'!J15)</f>
        <v>100</v>
      </c>
      <c r="F22" s="2">
        <f>MIN('CP-ACS'!K15)</f>
        <v>15.083443000000001</v>
      </c>
      <c r="G22" s="2">
        <f>MIN('CP-DCM-ACO'!K15)</f>
        <v>21.876124999999998</v>
      </c>
      <c r="H22" s="2">
        <f>MIN('MT-CP-DCM-ACO'!K15)</f>
        <v>4.589944</v>
      </c>
      <c r="I22" s="2">
        <f>MIN('CP-ACS'!L15)</f>
        <v>20.248811</v>
      </c>
      <c r="J22" s="2">
        <f>MIN('CP-DCM-ACO'!L15)</f>
        <v>22.265041</v>
      </c>
      <c r="K22" s="2">
        <f>MIN('MT-CP-DCM-ACO'!L15)</f>
        <v>3.3019180000000001</v>
      </c>
      <c r="L22" s="2">
        <f>MIN('CP-ACS'!M15)</f>
        <v>549.79</v>
      </c>
      <c r="M22" s="2">
        <f>MIN('CP-DCM-ACO'!M15)</f>
        <v>397.84</v>
      </c>
      <c r="N22" s="2">
        <f>MIN('MT-CP-DCM-ACO'!M15)</f>
        <v>123.66</v>
      </c>
    </row>
    <row r="23" spans="2:14" x14ac:dyDescent="0.3">
      <c r="B23" t="s">
        <v>20</v>
      </c>
      <c r="C23" s="2">
        <f>MAX('CP-ACS'!J16)</f>
        <v>80</v>
      </c>
      <c r="D23" s="2">
        <f>MAX('CP-DCM-ACO'!J16)</f>
        <v>97</v>
      </c>
      <c r="E23" s="2">
        <f>MAX('MT-CP-DCM-ACO'!J16)</f>
        <v>100</v>
      </c>
      <c r="F23" s="2">
        <f>MIN('CP-ACS'!K16)</f>
        <v>9.2361439999999995</v>
      </c>
      <c r="G23" s="2">
        <f>MIN('CP-DCM-ACO'!K16)</f>
        <v>8.2265270000000008</v>
      </c>
      <c r="H23" s="2">
        <f>MIN('MT-CP-DCM-ACO'!K16)</f>
        <v>2.1419540000000001</v>
      </c>
      <c r="I23" s="2">
        <f>MIN('CP-ACS'!L16)</f>
        <v>16.574379</v>
      </c>
      <c r="J23" s="2">
        <f>MIN('CP-DCM-ACO'!L16)</f>
        <v>12.847253</v>
      </c>
      <c r="K23" s="2">
        <f>MIN('MT-CP-DCM-ACO'!L16)</f>
        <v>1.5478529999999999</v>
      </c>
      <c r="L23" s="2">
        <f>MIN('CP-ACS'!M16)</f>
        <v>304.31</v>
      </c>
      <c r="M23" s="2">
        <f>MIN('CP-DCM-ACO'!M16)</f>
        <v>141.57</v>
      </c>
      <c r="N23" s="2">
        <f>MIN('MT-CP-DCM-ACO'!M16)</f>
        <v>56.96</v>
      </c>
    </row>
    <row r="24" spans="2:14" x14ac:dyDescent="0.3">
      <c r="B24" t="s">
        <v>21</v>
      </c>
      <c r="C24" s="2">
        <f>MAX('CP-ACS'!J17)</f>
        <v>84</v>
      </c>
      <c r="D24" s="2">
        <f>MAX('CP-DCM-ACO'!J17)</f>
        <v>100</v>
      </c>
      <c r="E24" s="2">
        <f>MAX('MT-CP-DCM-ACO'!J17)</f>
        <v>100</v>
      </c>
      <c r="F24" s="2">
        <f>MIN('CP-ACS'!K17)</f>
        <v>11.934984</v>
      </c>
      <c r="G24" s="2">
        <f>MIN('CP-DCM-ACO'!K17)</f>
        <v>10.645505</v>
      </c>
      <c r="H24" s="2">
        <f>MIN('MT-CP-DCM-ACO'!K17)</f>
        <v>2.8943210000000001</v>
      </c>
      <c r="I24" s="2">
        <f>MIN('CP-ACS'!L17)</f>
        <v>20.645416000000001</v>
      </c>
      <c r="J24" s="2">
        <f>MIN('CP-DCM-ACO'!L17)</f>
        <v>8.5102429999999991</v>
      </c>
      <c r="K24" s="2">
        <f>MIN('MT-CP-DCM-ACO'!L17)</f>
        <v>2.1256710000000001</v>
      </c>
      <c r="L24" s="2">
        <f>MIN('CP-ACS'!M17)</f>
        <v>369.88</v>
      </c>
      <c r="M24" s="2">
        <f>MIN('CP-DCM-ACO'!M17)</f>
        <v>179.87</v>
      </c>
      <c r="N24" s="2">
        <f>MIN('MT-CP-DCM-ACO'!M17)</f>
        <v>74.680000000000007</v>
      </c>
    </row>
    <row r="25" spans="2:14" x14ac:dyDescent="0.3">
      <c r="B25" t="s">
        <v>22</v>
      </c>
      <c r="C25" s="2">
        <f>MAX('CP-ACS'!J18)</f>
        <v>92</v>
      </c>
      <c r="D25" s="2">
        <f>MAX('CP-DCM-ACO'!J18)</f>
        <v>100</v>
      </c>
      <c r="E25" s="2">
        <f>MAX('MT-CP-DCM-ACO'!J18)</f>
        <v>100</v>
      </c>
      <c r="F25" s="2">
        <f>MIN('CP-ACS'!K18)</f>
        <v>5.7859949999999998</v>
      </c>
      <c r="G25" s="2">
        <f>MIN('CP-DCM-ACO'!K18)</f>
        <v>4.7421059999999997</v>
      </c>
      <c r="H25" s="2">
        <f>MIN('MT-CP-DCM-ACO'!K18)</f>
        <v>1.1647240000000001</v>
      </c>
      <c r="I25" s="2">
        <f>MIN('CP-ACS'!L18)</f>
        <v>11.912679000000001</v>
      </c>
      <c r="J25" s="2">
        <f>MIN('CP-DCM-ACO'!L18)</f>
        <v>4.990272</v>
      </c>
      <c r="K25" s="2">
        <f>MIN('MT-CP-DCM-ACO'!L18)</f>
        <v>0.63938300000000003</v>
      </c>
      <c r="L25" s="2">
        <f>MIN('CP-ACS'!M18)</f>
        <v>183.51</v>
      </c>
      <c r="M25" s="2">
        <f>MIN('CP-DCM-ACO'!M18)</f>
        <v>86.51</v>
      </c>
      <c r="N25" s="2">
        <f>MIN('MT-CP-DCM-ACO'!M18)</f>
        <v>31.11</v>
      </c>
    </row>
    <row r="26" spans="2:14" x14ac:dyDescent="0.3">
      <c r="B26" t="s">
        <v>23</v>
      </c>
      <c r="C26" s="2">
        <f>MAX('CP-ACS'!J19)</f>
        <v>75</v>
      </c>
      <c r="D26" s="2">
        <f>MAX('CP-DCM-ACO'!J19)</f>
        <v>99</v>
      </c>
      <c r="E26" s="2">
        <f>MAX('MT-CP-DCM-ACO'!J19)</f>
        <v>100</v>
      </c>
      <c r="F26" s="2">
        <f>MIN('CP-ACS'!K19)</f>
        <v>13.479756</v>
      </c>
      <c r="G26" s="2">
        <f>MIN('CP-DCM-ACO'!K19)</f>
        <v>21.165935999999999</v>
      </c>
      <c r="H26" s="2">
        <f>MIN('MT-CP-DCM-ACO'!K19)</f>
        <v>4.765771</v>
      </c>
      <c r="I26" s="2">
        <f>MIN('CP-ACS'!L19)</f>
        <v>19.830580999999999</v>
      </c>
      <c r="J26" s="2">
        <f>MIN('CP-DCM-ACO'!L19)</f>
        <v>23.243948</v>
      </c>
      <c r="K26" s="2">
        <f>MIN('MT-CP-DCM-ACO'!L19)</f>
        <v>4.6925140000000001</v>
      </c>
      <c r="L26" s="2">
        <f>MIN('CP-ACS'!M19)</f>
        <v>463.05</v>
      </c>
      <c r="M26" s="2">
        <f>MIN('CP-DCM-ACO'!M19)</f>
        <v>378.89</v>
      </c>
      <c r="N26" s="2">
        <f>MIN('MT-CP-DCM-ACO'!M19)</f>
        <v>131.30000000000001</v>
      </c>
    </row>
    <row r="27" spans="2:14" x14ac:dyDescent="0.3">
      <c r="B27" t="s">
        <v>24</v>
      </c>
      <c r="C27" s="2">
        <f>MAX('CP-ACS'!J20)</f>
        <v>68</v>
      </c>
      <c r="D27" s="2">
        <f>MAX('CP-DCM-ACO'!J20)</f>
        <v>95</v>
      </c>
      <c r="E27" s="2">
        <f>MAX('MT-CP-DCM-ACO'!J20)</f>
        <v>100</v>
      </c>
      <c r="F27" s="2">
        <f>MIN('CP-ACS'!K20)</f>
        <v>14.089071000000001</v>
      </c>
      <c r="G27" s="2">
        <f>MIN('CP-DCM-ACO'!K20)</f>
        <v>16.850256000000002</v>
      </c>
      <c r="H27" s="2">
        <f>MIN('MT-CP-DCM-ACO'!K20)</f>
        <v>3.6243970000000001</v>
      </c>
      <c r="I27" s="2">
        <f>MIN('CP-ACS'!L20)</f>
        <v>20.960863</v>
      </c>
      <c r="J27" s="2">
        <f>MIN('CP-DCM-ACO'!L20)</f>
        <v>17.252721000000001</v>
      </c>
      <c r="K27" s="2">
        <f>MIN('MT-CP-DCM-ACO'!L20)</f>
        <v>2.534783</v>
      </c>
      <c r="L27" s="2">
        <f>MIN('CP-ACS'!M20)</f>
        <v>467.31</v>
      </c>
      <c r="M27" s="2">
        <f>MIN('CP-DCM-ACO'!M20)</f>
        <v>242.86</v>
      </c>
      <c r="N27" s="2">
        <f>MIN('MT-CP-DCM-ACO'!M20)</f>
        <v>98.98</v>
      </c>
    </row>
    <row r="28" spans="2:14" x14ac:dyDescent="0.3">
      <c r="B28" t="s">
        <v>25</v>
      </c>
      <c r="C28" s="2">
        <f>MAX('CP-ACS'!J21)</f>
        <v>66</v>
      </c>
      <c r="D28" s="2">
        <f>MAX('CP-DCM-ACO'!J21)</f>
        <v>97</v>
      </c>
      <c r="E28" s="2">
        <f>MAX('MT-CP-DCM-ACO'!J21)</f>
        <v>100</v>
      </c>
      <c r="F28" s="2">
        <f>MIN('CP-ACS'!K21)</f>
        <v>10.868178</v>
      </c>
      <c r="G28" s="2">
        <f>MIN('CP-DCM-ACO'!K21)</f>
        <v>21.970379999999999</v>
      </c>
      <c r="H28" s="2">
        <f>MIN('MT-CP-DCM-ACO'!K21)</f>
        <v>4.7183440000000001</v>
      </c>
      <c r="I28" s="2">
        <f>MIN('CP-ACS'!L21)</f>
        <v>16.769604000000001</v>
      </c>
      <c r="J28" s="2">
        <f>MIN('CP-DCM-ACO'!L21)</f>
        <v>23.311563</v>
      </c>
      <c r="K28" s="2">
        <f>MIN('MT-CP-DCM-ACO'!L21)</f>
        <v>4.4893669999999997</v>
      </c>
      <c r="L28" s="2">
        <f>MIN('CP-ACS'!M21)</f>
        <v>358.74</v>
      </c>
      <c r="M28" s="2">
        <f>MIN('CP-DCM-ACO'!M21)</f>
        <v>350.63</v>
      </c>
      <c r="N28" s="2">
        <f>MIN('MT-CP-DCM-ACO'!M21)</f>
        <v>119.95</v>
      </c>
    </row>
    <row r="29" spans="2:14" x14ac:dyDescent="0.3">
      <c r="B29" t="s">
        <v>26</v>
      </c>
      <c r="C29" s="2">
        <f>MAX('CP-ACS'!J22)</f>
        <v>80</v>
      </c>
      <c r="D29" s="2">
        <f>MAX('CP-DCM-ACO'!J22)</f>
        <v>100</v>
      </c>
      <c r="E29" s="2">
        <f>MAX('MT-CP-DCM-ACO'!J22)</f>
        <v>100</v>
      </c>
      <c r="F29" s="2">
        <f>MIN('CP-ACS'!K22)</f>
        <v>10.494408999999999</v>
      </c>
      <c r="G29" s="2">
        <f>MIN('CP-DCM-ACO'!K22)</f>
        <v>12.460478</v>
      </c>
      <c r="H29" s="2">
        <f>MIN('MT-CP-DCM-ACO'!K22)</f>
        <v>3.1840549999999999</v>
      </c>
      <c r="I29" s="2">
        <f>MIN('CP-ACS'!L22)</f>
        <v>17.121483999999999</v>
      </c>
      <c r="J29" s="2">
        <f>MIN('CP-DCM-ACO'!L22)</f>
        <v>11.512496000000001</v>
      </c>
      <c r="K29" s="2">
        <f>MIN('MT-CP-DCM-ACO'!L22)</f>
        <v>2.6326070000000001</v>
      </c>
      <c r="L29" s="2">
        <f>MIN('CP-ACS'!M22)</f>
        <v>340.9</v>
      </c>
      <c r="M29" s="2">
        <f>MIN('CP-DCM-ACO'!M22)</f>
        <v>184.23</v>
      </c>
      <c r="N29" s="2">
        <f>MIN('MT-CP-DCM-ACO'!M22)</f>
        <v>80.06</v>
      </c>
    </row>
    <row r="30" spans="2:14" x14ac:dyDescent="0.3">
      <c r="B30" t="s">
        <v>27</v>
      </c>
      <c r="C30" s="2">
        <f>MAX('CP-ACS'!J23)</f>
        <v>42</v>
      </c>
      <c r="D30" s="2">
        <f>MAX('CP-DCM-ACO'!J23)</f>
        <v>84</v>
      </c>
      <c r="E30" s="2">
        <f>MAX('MT-CP-DCM-ACO'!J23)</f>
        <v>100</v>
      </c>
      <c r="F30" s="2">
        <f>MIN('CP-ACS'!K23)</f>
        <v>22.033151</v>
      </c>
      <c r="G30" s="2">
        <f>MIN('CP-DCM-ACO'!K23)</f>
        <v>37.059753000000001</v>
      </c>
      <c r="H30" s="2">
        <f>MIN('MT-CP-DCM-ACO'!K23)</f>
        <v>12.084292</v>
      </c>
      <c r="I30" s="2">
        <f>MIN('CP-ACS'!L23)</f>
        <v>27.030949</v>
      </c>
      <c r="J30" s="2">
        <f>MIN('CP-DCM-ACO'!L23)</f>
        <v>24.269134000000001</v>
      </c>
      <c r="K30" s="2">
        <f>MIN('MT-CP-DCM-ACO'!L23)</f>
        <v>8.7107039999999998</v>
      </c>
      <c r="L30" s="2">
        <f>MIN('CP-ACS'!M23)</f>
        <v>767.98</v>
      </c>
      <c r="M30" s="2">
        <f>MIN('CP-DCM-ACO'!M23)</f>
        <v>595.75</v>
      </c>
      <c r="N30" s="2">
        <f>MIN('MT-CP-DCM-ACO'!M23)</f>
        <v>327.78</v>
      </c>
    </row>
    <row r="31" spans="2:14" x14ac:dyDescent="0.3">
      <c r="B31" t="s">
        <v>28</v>
      </c>
      <c r="C31" s="2">
        <f>MAX('CP-ACS'!J24)</f>
        <v>73</v>
      </c>
      <c r="D31" s="2">
        <f>MAX('CP-DCM-ACO'!J24)</f>
        <v>98</v>
      </c>
      <c r="E31" s="2">
        <f>MAX('MT-CP-DCM-ACO'!J24)</f>
        <v>100</v>
      </c>
      <c r="F31" s="2">
        <f>MIN('CP-ACS'!K24)</f>
        <v>13.788535</v>
      </c>
      <c r="G31" s="2">
        <f>MIN('CP-DCM-ACO'!K24)</f>
        <v>19.122634999999999</v>
      </c>
      <c r="H31" s="2">
        <f>MIN('MT-CP-DCM-ACO'!K24)</f>
        <v>3.7025399999999999</v>
      </c>
      <c r="I31" s="2">
        <f>MIN('CP-ACS'!L24)</f>
        <v>21.275739999999999</v>
      </c>
      <c r="J31" s="2">
        <f>MIN('CP-DCM-ACO'!L24)</f>
        <v>21.859500000000001</v>
      </c>
      <c r="K31" s="2">
        <f>MIN('MT-CP-DCM-ACO'!L24)</f>
        <v>2.8043459999999998</v>
      </c>
      <c r="L31" s="2">
        <f>MIN('CP-ACS'!M24)</f>
        <v>447.22</v>
      </c>
      <c r="M31" s="2">
        <f>MIN('CP-DCM-ACO'!M24)</f>
        <v>315.02</v>
      </c>
      <c r="N31" s="2">
        <f>MIN('MT-CP-DCM-ACO'!M24)</f>
        <v>102.38</v>
      </c>
    </row>
    <row r="32" spans="2:14" x14ac:dyDescent="0.3">
      <c r="B32" t="s">
        <v>29</v>
      </c>
      <c r="C32" s="2">
        <f>MAX('CP-ACS'!J25)</f>
        <v>80</v>
      </c>
      <c r="D32" s="2">
        <f>MAX('CP-DCM-ACO'!J25)</f>
        <v>100</v>
      </c>
      <c r="E32" s="2">
        <f>MAX('MT-CP-DCM-ACO'!J25)</f>
        <v>100</v>
      </c>
      <c r="F32" s="2">
        <f>MIN('CP-ACS'!K25)</f>
        <v>12.637886999999999</v>
      </c>
      <c r="G32" s="2">
        <f>MIN('CP-DCM-ACO'!K25)</f>
        <v>13.555498999999999</v>
      </c>
      <c r="H32" s="2">
        <f>MIN('MT-CP-DCM-ACO'!K25)</f>
        <v>3.1971150000000002</v>
      </c>
      <c r="I32" s="2">
        <f>MIN('CP-ACS'!L25)</f>
        <v>21.258557</v>
      </c>
      <c r="J32" s="2">
        <f>MIN('CP-DCM-ACO'!L25)</f>
        <v>11.492305999999999</v>
      </c>
      <c r="K32" s="2">
        <f>MIN('MT-CP-DCM-ACO'!L25)</f>
        <v>2.5989019999999998</v>
      </c>
      <c r="L32" s="2">
        <f>MIN('CP-ACS'!M25)</f>
        <v>392.81</v>
      </c>
      <c r="M32" s="2">
        <f>MIN('CP-DCM-ACO'!M25)</f>
        <v>209.28</v>
      </c>
      <c r="N32" s="2">
        <f>MIN('MT-CP-DCM-ACO'!M25)</f>
        <v>83.82</v>
      </c>
    </row>
    <row r="33" spans="2:14" x14ac:dyDescent="0.3">
      <c r="B33" t="s">
        <v>30</v>
      </c>
      <c r="C33" s="2">
        <f>MAX('CP-ACS'!J26)</f>
        <v>79</v>
      </c>
      <c r="D33" s="2">
        <f>MAX('CP-DCM-ACO'!J26)</f>
        <v>97</v>
      </c>
      <c r="E33" s="2">
        <f>MAX('MT-CP-DCM-ACO'!J26)</f>
        <v>100</v>
      </c>
      <c r="F33" s="2">
        <f>MIN('CP-ACS'!K26)</f>
        <v>14.245595</v>
      </c>
      <c r="G33" s="2">
        <f>MIN('CP-DCM-ACO'!K26)</f>
        <v>20.816082000000002</v>
      </c>
      <c r="H33" s="2">
        <f>MIN('MT-CP-DCM-ACO'!K26)</f>
        <v>4.6905799999999997</v>
      </c>
      <c r="I33" s="2">
        <f>MIN('CP-ACS'!L26)</f>
        <v>22.011188000000001</v>
      </c>
      <c r="J33" s="2">
        <f>MIN('CP-DCM-ACO'!L26)</f>
        <v>18.926518999999999</v>
      </c>
      <c r="K33" s="2">
        <f>MIN('MT-CP-DCM-ACO'!L26)</f>
        <v>3.3438409999999998</v>
      </c>
      <c r="L33" s="2">
        <f>MIN('CP-ACS'!M26)</f>
        <v>455.43</v>
      </c>
      <c r="M33" s="2">
        <f>MIN('CP-DCM-ACO'!M26)</f>
        <v>273.60000000000002</v>
      </c>
      <c r="N33" s="2">
        <f>MIN('MT-CP-DCM-ACO'!M26)</f>
        <v>116.48</v>
      </c>
    </row>
    <row r="34" spans="2:14" x14ac:dyDescent="0.3">
      <c r="B34" t="s">
        <v>31</v>
      </c>
      <c r="C34" s="2">
        <f>MAX('CP-ACS'!J27)</f>
        <v>89</v>
      </c>
      <c r="D34" s="2">
        <f>MAX('CP-DCM-ACO'!J27)</f>
        <v>99</v>
      </c>
      <c r="E34" s="2">
        <f>MAX('MT-CP-DCM-ACO'!J27)</f>
        <v>100</v>
      </c>
      <c r="F34" s="2">
        <f>MIN('CP-ACS'!K27)</f>
        <v>10.727854000000001</v>
      </c>
      <c r="G34" s="2">
        <f>MIN('CP-DCM-ACO'!K27)</f>
        <v>7.7492279999999996</v>
      </c>
      <c r="H34" s="2">
        <f>MIN('MT-CP-DCM-ACO'!K27)</f>
        <v>2.124368</v>
      </c>
      <c r="I34" s="2">
        <f>MIN('CP-ACS'!L27)</f>
        <v>19.237801999999999</v>
      </c>
      <c r="J34" s="2">
        <f>MIN('CP-DCM-ACO'!L27)</f>
        <v>7.2239100000000001</v>
      </c>
      <c r="K34" s="2">
        <f>MIN('MT-CP-DCM-ACO'!L27)</f>
        <v>1.3793070000000001</v>
      </c>
      <c r="L34" s="2">
        <f>MIN('CP-ACS'!M27)</f>
        <v>345.06</v>
      </c>
      <c r="M34" s="2">
        <f>MIN('CP-DCM-ACO'!M27)</f>
        <v>116.48</v>
      </c>
      <c r="N34" s="2">
        <f>MIN('MT-CP-DCM-ACO'!M27)</f>
        <v>53.75</v>
      </c>
    </row>
    <row r="35" spans="2:14" x14ac:dyDescent="0.3">
      <c r="B35" t="s">
        <v>32</v>
      </c>
      <c r="C35" s="2">
        <f>MAX('CP-ACS'!J28)</f>
        <v>86</v>
      </c>
      <c r="D35" s="2">
        <f>MAX('CP-DCM-ACO'!J28)</f>
        <v>99</v>
      </c>
      <c r="E35" s="2">
        <f>MAX('MT-CP-DCM-ACO'!J28)</f>
        <v>100</v>
      </c>
      <c r="F35" s="2">
        <f>MIN('CP-ACS'!K28)</f>
        <v>11.61355</v>
      </c>
      <c r="G35" s="2">
        <f>MIN('CP-DCM-ACO'!K28)</f>
        <v>10.288948</v>
      </c>
      <c r="H35" s="2">
        <f>MIN('MT-CP-DCM-ACO'!K28)</f>
        <v>2.9541240000000002</v>
      </c>
      <c r="I35" s="2">
        <f>MIN('CP-ACS'!L28)</f>
        <v>22.716239000000002</v>
      </c>
      <c r="J35" s="2">
        <f>MIN('CP-DCM-ACO'!L28)</f>
        <v>9.7333820000000006</v>
      </c>
      <c r="K35" s="2">
        <f>MIN('MT-CP-DCM-ACO'!L28)</f>
        <v>1.755835</v>
      </c>
      <c r="L35" s="2">
        <f>MIN('CP-ACS'!M28)</f>
        <v>374.64</v>
      </c>
      <c r="M35" s="2">
        <f>MIN('CP-DCM-ACO'!M28)</f>
        <v>166.39</v>
      </c>
      <c r="N35" s="2">
        <f>MIN('MT-CP-DCM-ACO'!M28)</f>
        <v>79.989999999999995</v>
      </c>
    </row>
    <row r="36" spans="2:14" x14ac:dyDescent="0.3">
      <c r="B36" t="s">
        <v>33</v>
      </c>
      <c r="C36" s="2">
        <f>MAX('CP-ACS'!J29)</f>
        <v>33</v>
      </c>
      <c r="D36" s="2">
        <f>MAX('CP-DCM-ACO'!J29)</f>
        <v>84</v>
      </c>
      <c r="E36" s="2">
        <f>MAX('MT-CP-DCM-ACO'!J29)</f>
        <v>99</v>
      </c>
      <c r="F36" s="2">
        <f>MIN('CP-ACS'!K29)</f>
        <v>21.694077</v>
      </c>
      <c r="G36" s="2">
        <f>MIN('CP-DCM-ACO'!K29)</f>
        <v>27.550805</v>
      </c>
      <c r="H36" s="2">
        <f>MIN('MT-CP-DCM-ACO'!K29)</f>
        <v>10.417477</v>
      </c>
      <c r="I36" s="2">
        <f>MIN('CP-ACS'!L29)</f>
        <v>23.046937</v>
      </c>
      <c r="J36" s="2">
        <f>MIN('CP-DCM-ACO'!L29)</f>
        <v>28.320864</v>
      </c>
      <c r="K36" s="2">
        <f>MIN('MT-CP-DCM-ACO'!L29)</f>
        <v>13.621790000000001</v>
      </c>
      <c r="L36" s="2">
        <f>MIN('CP-ACS'!M29)</f>
        <v>702.18</v>
      </c>
      <c r="M36" s="2">
        <f>MIN('CP-DCM-ACO'!M29)</f>
        <v>449.94</v>
      </c>
      <c r="N36" s="2">
        <f>MIN('MT-CP-DCM-ACO'!M29)</f>
        <v>284.92</v>
      </c>
    </row>
    <row r="37" spans="2:14" x14ac:dyDescent="0.3">
      <c r="B37" t="s">
        <v>34</v>
      </c>
      <c r="C37" s="2">
        <f>MAX('CP-ACS'!J30)</f>
        <v>44</v>
      </c>
      <c r="D37" s="2">
        <f>MAX('CP-DCM-ACO'!J30)</f>
        <v>77</v>
      </c>
      <c r="E37" s="2">
        <f>MAX('MT-CP-DCM-ACO'!J30)</f>
        <v>100</v>
      </c>
      <c r="F37" s="2">
        <f>MIN('CP-ACS'!K30)</f>
        <v>23.468062</v>
      </c>
      <c r="G37" s="2">
        <f>MIN('CP-DCM-ACO'!K30)</f>
        <v>30.186426999999998</v>
      </c>
      <c r="H37" s="2">
        <f>MIN('MT-CP-DCM-ACO'!K30)</f>
        <v>8.7941289999999999</v>
      </c>
      <c r="I37" s="2">
        <f>MIN('CP-ACS'!L30)</f>
        <v>33.387318999999998</v>
      </c>
      <c r="J37" s="2">
        <f>MIN('CP-DCM-ACO'!L30)</f>
        <v>28.970797999999998</v>
      </c>
      <c r="K37" s="2">
        <f>MIN('MT-CP-DCM-ACO'!L30)</f>
        <v>7.2001910000000002</v>
      </c>
      <c r="L37" s="2">
        <f>MIN('CP-ACS'!M30)</f>
        <v>823.48</v>
      </c>
      <c r="M37" s="2">
        <f>MIN('CP-DCM-ACO'!M30)</f>
        <v>542.34</v>
      </c>
      <c r="N37" s="2">
        <f>MIN('MT-CP-DCM-ACO'!M30)</f>
        <v>248.06</v>
      </c>
    </row>
    <row r="38" spans="2:14" x14ac:dyDescent="0.3">
      <c r="B38" t="s">
        <v>35</v>
      </c>
      <c r="C38" s="2">
        <f>MAX('CP-ACS'!J31)</f>
        <v>71</v>
      </c>
      <c r="D38" s="2">
        <f>MAX('CP-DCM-ACO'!J31)</f>
        <v>96</v>
      </c>
      <c r="E38" s="2">
        <f>MAX('MT-CP-DCM-ACO'!J31)</f>
        <v>100</v>
      </c>
      <c r="F38" s="2">
        <f>MIN('CP-ACS'!K31)</f>
        <v>14.189844000000001</v>
      </c>
      <c r="G38" s="2">
        <f>MIN('CP-DCM-ACO'!K31)</f>
        <v>21.096371999999999</v>
      </c>
      <c r="H38" s="2">
        <f>MIN('MT-CP-DCM-ACO'!K31)</f>
        <v>5.1728630000000004</v>
      </c>
      <c r="I38" s="2">
        <f>MIN('CP-ACS'!L31)</f>
        <v>21.782627000000002</v>
      </c>
      <c r="J38" s="2">
        <f>MIN('CP-DCM-ACO'!L31)</f>
        <v>20.389327000000002</v>
      </c>
      <c r="K38" s="2">
        <f>MIN('MT-CP-DCM-ACO'!L31)</f>
        <v>3.7002929999999998</v>
      </c>
      <c r="L38" s="2">
        <f>MIN('CP-ACS'!M31)</f>
        <v>471.42</v>
      </c>
      <c r="M38" s="2">
        <f>MIN('CP-DCM-ACO'!M31)</f>
        <v>332.29</v>
      </c>
      <c r="N38" s="2">
        <f>MIN('MT-CP-DCM-ACO'!M31)</f>
        <v>134.65</v>
      </c>
    </row>
    <row r="39" spans="2:14" x14ac:dyDescent="0.3">
      <c r="B39" t="s">
        <v>36</v>
      </c>
      <c r="C39" s="2">
        <f>MAX('CP-ACS'!J32)</f>
        <v>73</v>
      </c>
      <c r="D39" s="2">
        <f>MAX('CP-DCM-ACO'!J32)</f>
        <v>98</v>
      </c>
      <c r="E39" s="2">
        <f>MAX('MT-CP-DCM-ACO'!J32)</f>
        <v>100</v>
      </c>
      <c r="F39" s="2">
        <f>MIN('CP-ACS'!K32)</f>
        <v>14.186731999999999</v>
      </c>
      <c r="G39" s="2">
        <f>MIN('CP-DCM-ACO'!K32)</f>
        <v>17.546679999999999</v>
      </c>
      <c r="H39" s="2">
        <f>MIN('MT-CP-DCM-ACO'!K32)</f>
        <v>3.6365530000000001</v>
      </c>
      <c r="I39" s="2">
        <f>MIN('CP-ACS'!L32)</f>
        <v>20.309449999999998</v>
      </c>
      <c r="J39" s="2">
        <f>MIN('CP-DCM-ACO'!L32)</f>
        <v>16.721249</v>
      </c>
      <c r="K39" s="2">
        <f>MIN('MT-CP-DCM-ACO'!L32)</f>
        <v>3.1779799999999998</v>
      </c>
      <c r="L39" s="2">
        <f>MIN('CP-ACS'!M32)</f>
        <v>467.11</v>
      </c>
      <c r="M39" s="2">
        <f>MIN('CP-DCM-ACO'!M32)</f>
        <v>255.36</v>
      </c>
      <c r="N39" s="2">
        <f>MIN('MT-CP-DCM-ACO'!M32)</f>
        <v>95.2</v>
      </c>
    </row>
    <row r="40" spans="2:14" x14ac:dyDescent="0.3">
      <c r="B40" t="s">
        <v>37</v>
      </c>
      <c r="C40" s="2">
        <f>MAX('CP-ACS'!J33)</f>
        <v>69</v>
      </c>
      <c r="D40" s="2">
        <f>MAX('CP-DCM-ACO'!J33)</f>
        <v>96</v>
      </c>
      <c r="E40" s="2">
        <f>MAX('MT-CP-DCM-ACO'!J33)</f>
        <v>100</v>
      </c>
      <c r="F40" s="2">
        <f>MIN('CP-ACS'!K33)</f>
        <v>15.680948000000001</v>
      </c>
      <c r="G40" s="2">
        <f>MIN('CP-DCM-ACO'!K33)</f>
        <v>23.998038999999999</v>
      </c>
      <c r="H40" s="2">
        <f>MIN('MT-CP-DCM-ACO'!K33)</f>
        <v>4.9200929999999996</v>
      </c>
      <c r="I40" s="2">
        <f>MIN('CP-ACS'!L33)</f>
        <v>24.374891999999999</v>
      </c>
      <c r="J40" s="2">
        <f>MIN('CP-DCM-ACO'!L33)</f>
        <v>22.420947999999999</v>
      </c>
      <c r="K40" s="2">
        <f>MIN('MT-CP-DCM-ACO'!L33)</f>
        <v>3.4716870000000002</v>
      </c>
      <c r="L40" s="2">
        <f>MIN('CP-ACS'!M33)</f>
        <v>554.74</v>
      </c>
      <c r="M40" s="2">
        <f>MIN('CP-DCM-ACO'!M33)</f>
        <v>413.58</v>
      </c>
      <c r="N40" s="2">
        <f>MIN('MT-CP-DCM-ACO'!M33)</f>
        <v>136.71</v>
      </c>
    </row>
    <row r="41" spans="2:14" x14ac:dyDescent="0.3">
      <c r="B41" t="s">
        <v>38</v>
      </c>
      <c r="C41" s="2">
        <f>MAX('CP-ACS'!J34)</f>
        <v>95</v>
      </c>
      <c r="D41" s="2">
        <f>MAX('CP-DCM-ACO'!J34)</f>
        <v>99</v>
      </c>
      <c r="E41" s="2">
        <f>MAX('MT-CP-DCM-ACO'!J34)</f>
        <v>100</v>
      </c>
      <c r="F41" s="2">
        <f>MIN('CP-ACS'!K34)</f>
        <v>6.1248209999999998</v>
      </c>
      <c r="G41" s="2">
        <f>MIN('CP-DCM-ACO'!K34)</f>
        <v>9.5577500000000004</v>
      </c>
      <c r="H41" s="2">
        <f>MIN('MT-CP-DCM-ACO'!K34)</f>
        <v>1.680023</v>
      </c>
      <c r="I41" s="2">
        <f>MIN('CP-ACS'!L34)</f>
        <v>13.516545000000001</v>
      </c>
      <c r="J41" s="2">
        <f>MIN('CP-DCM-ACO'!L34)</f>
        <v>10.654893</v>
      </c>
      <c r="K41" s="2">
        <f>MIN('MT-CP-DCM-ACO'!L34)</f>
        <v>1.1910480000000001</v>
      </c>
      <c r="L41" s="2">
        <f>MIN('CP-ACS'!M34)</f>
        <v>193.2</v>
      </c>
      <c r="M41" s="2">
        <f>MIN('CP-DCM-ACO'!M34)</f>
        <v>112.95</v>
      </c>
      <c r="N41" s="2">
        <f>MIN('MT-CP-DCM-ACO'!M34)</f>
        <v>44</v>
      </c>
    </row>
    <row r="42" spans="2:14" x14ac:dyDescent="0.3">
      <c r="B42" t="s">
        <v>39</v>
      </c>
      <c r="C42" s="2">
        <f>MAX('CP-ACS'!J35)</f>
        <v>79</v>
      </c>
      <c r="D42" s="2">
        <f>MAX('CP-DCM-ACO'!J35)</f>
        <v>99</v>
      </c>
      <c r="E42" s="2">
        <f>MAX('MT-CP-DCM-ACO'!J35)</f>
        <v>100</v>
      </c>
      <c r="F42" s="2">
        <f>MIN('CP-ACS'!K35)</f>
        <v>10.436512</v>
      </c>
      <c r="G42" s="2">
        <f>MIN('CP-DCM-ACO'!K35)</f>
        <v>14.547058</v>
      </c>
      <c r="H42" s="2">
        <f>MIN('MT-CP-DCM-ACO'!K35)</f>
        <v>2.9741399999999998</v>
      </c>
      <c r="I42" s="2">
        <f>MIN('CP-ACS'!L35)</f>
        <v>13.103006000000001</v>
      </c>
      <c r="J42" s="2">
        <f>MIN('CP-DCM-ACO'!L35)</f>
        <v>19.141756000000001</v>
      </c>
      <c r="K42" s="2">
        <f>MIN('MT-CP-DCM-ACO'!L35)</f>
        <v>2.2807819999999999</v>
      </c>
      <c r="L42" s="2">
        <f>MIN('CP-ACS'!M35)</f>
        <v>327.25</v>
      </c>
      <c r="M42" s="2">
        <f>MIN('CP-DCM-ACO'!M35)</f>
        <v>237.27</v>
      </c>
      <c r="N42" s="2">
        <f>MIN('MT-CP-DCM-ACO'!M35)</f>
        <v>78.84</v>
      </c>
    </row>
    <row r="43" spans="2:14" x14ac:dyDescent="0.3">
      <c r="B43" t="s">
        <v>40</v>
      </c>
      <c r="C43" s="2">
        <f>MAX('CP-ACS'!J36)</f>
        <v>34</v>
      </c>
      <c r="D43" s="2">
        <f>MAX('CP-DCM-ACO'!J36)</f>
        <v>83</v>
      </c>
      <c r="E43" s="2">
        <f>MAX('MT-CP-DCM-ACO'!J36)</f>
        <v>100</v>
      </c>
      <c r="F43" s="2">
        <f>MIN('CP-ACS'!K36)</f>
        <v>15.881072</v>
      </c>
      <c r="G43" s="2">
        <f>MIN('CP-DCM-ACO'!K36)</f>
        <v>34.155419000000002</v>
      </c>
      <c r="H43" s="2">
        <f>MIN('MT-CP-DCM-ACO'!K36)</f>
        <v>13.575837999999999</v>
      </c>
      <c r="I43" s="2">
        <f>MIN('CP-ACS'!L36)</f>
        <v>20.305793000000001</v>
      </c>
      <c r="J43" s="2">
        <f>MIN('CP-DCM-ACO'!L36)</f>
        <v>28.081717999999999</v>
      </c>
      <c r="K43" s="2">
        <f>MIN('MT-CP-DCM-ACO'!L36)</f>
        <v>14.245756999999999</v>
      </c>
      <c r="L43" s="2">
        <f>MIN('CP-ACS'!M36)</f>
        <v>506.97</v>
      </c>
      <c r="M43" s="2">
        <f>MIN('CP-DCM-ACO'!M36)</f>
        <v>652.16999999999996</v>
      </c>
      <c r="N43" s="2">
        <f>MIN('MT-CP-DCM-ACO'!M36)</f>
        <v>374.64</v>
      </c>
    </row>
    <row r="44" spans="2:14" x14ac:dyDescent="0.3">
      <c r="B44" t="s">
        <v>41</v>
      </c>
      <c r="C44" s="2">
        <f>MAX('CP-ACS'!J37)</f>
        <v>95</v>
      </c>
      <c r="D44" s="2">
        <f>MAX('CP-DCM-ACO'!J37)</f>
        <v>100</v>
      </c>
      <c r="E44" s="2">
        <f>MAX('MT-CP-DCM-ACO'!J37)</f>
        <v>100</v>
      </c>
      <c r="F44" s="2">
        <f>MIN('CP-ACS'!K37)</f>
        <v>7.2033940000000003</v>
      </c>
      <c r="G44" s="2">
        <f>MIN('CP-DCM-ACO'!K37)</f>
        <v>7.2662050000000002</v>
      </c>
      <c r="H44" s="2">
        <f>MIN('MT-CP-DCM-ACO'!K37)</f>
        <v>1.9644250000000001</v>
      </c>
      <c r="I44" s="2">
        <f>MIN('CP-ACS'!L37)</f>
        <v>15.932862999999999</v>
      </c>
      <c r="J44" s="2">
        <f>MIN('CP-DCM-ACO'!L37)</f>
        <v>9.1658679999999997</v>
      </c>
      <c r="K44" s="2">
        <f>MIN('MT-CP-DCM-ACO'!L37)</f>
        <v>1.3161130000000001</v>
      </c>
      <c r="L44" s="2">
        <f>MIN('CP-ACS'!M37)</f>
        <v>275.36</v>
      </c>
      <c r="M44" s="2">
        <f>MIN('CP-DCM-ACO'!M37)</f>
        <v>135.07</v>
      </c>
      <c r="N44" s="2">
        <f>MIN('MT-CP-DCM-ACO'!M37)</f>
        <v>51.65</v>
      </c>
    </row>
    <row r="45" spans="2:14" x14ac:dyDescent="0.3">
      <c r="B45" t="s">
        <v>42</v>
      </c>
      <c r="C45" s="2">
        <f>MAX('CP-ACS'!J38)</f>
        <v>89</v>
      </c>
      <c r="D45" s="2">
        <f>MAX('CP-DCM-ACO'!J38)</f>
        <v>100</v>
      </c>
      <c r="E45" s="2">
        <f>MAX('MT-CP-DCM-ACO'!J38)</f>
        <v>100</v>
      </c>
      <c r="F45" s="2">
        <f>MIN('CP-ACS'!K38)</f>
        <v>5.7632649999999996</v>
      </c>
      <c r="G45" s="2">
        <f>MIN('CP-DCM-ACO'!K38)</f>
        <v>9.0627589999999998</v>
      </c>
      <c r="H45" s="2">
        <f>MIN('MT-CP-DCM-ACO'!K38)</f>
        <v>2.1673309999999999</v>
      </c>
      <c r="I45" s="2">
        <f>MIN('CP-ACS'!L38)</f>
        <v>9.4403260000000007</v>
      </c>
      <c r="J45" s="2">
        <f>MIN('CP-DCM-ACO'!L38)</f>
        <v>8.7032539999999994</v>
      </c>
      <c r="K45" s="2">
        <f>MIN('MT-CP-DCM-ACO'!L38)</f>
        <v>1.4379249999999999</v>
      </c>
      <c r="L45" s="2">
        <f>MIN('CP-ACS'!M38)</f>
        <v>228.81</v>
      </c>
      <c r="M45" s="2">
        <f>MIN('CP-DCM-ACO'!M38)</f>
        <v>147.93</v>
      </c>
      <c r="N45" s="2">
        <f>MIN('MT-CP-DCM-ACO'!M38)</f>
        <v>60.61</v>
      </c>
    </row>
    <row r="46" spans="2:14" x14ac:dyDescent="0.3">
      <c r="B46" t="s">
        <v>43</v>
      </c>
      <c r="C46" s="2">
        <f>MAX('CP-ACS'!J39)</f>
        <v>94</v>
      </c>
      <c r="D46" s="2">
        <f>MAX('CP-DCM-ACO'!J39)</f>
        <v>100</v>
      </c>
      <c r="E46" s="2">
        <f>MAX('MT-CP-DCM-ACO'!J39)</f>
        <v>100</v>
      </c>
      <c r="F46" s="2">
        <f>MIN('CP-ACS'!K39)</f>
        <v>5.8907470000000002</v>
      </c>
      <c r="G46" s="2">
        <f>MIN('CP-DCM-ACO'!K39)</f>
        <v>6.2365089999999999</v>
      </c>
      <c r="H46" s="2">
        <f>MIN('MT-CP-DCM-ACO'!K39)</f>
        <v>1.6950099999999999</v>
      </c>
      <c r="I46" s="2">
        <f>MIN('CP-ACS'!L39)</f>
        <v>11.834349</v>
      </c>
      <c r="J46" s="2">
        <f>MIN('CP-DCM-ACO'!L39)</f>
        <v>6.1844830000000002</v>
      </c>
      <c r="K46" s="2">
        <f>MIN('MT-CP-DCM-ACO'!L39)</f>
        <v>0.94750199999999996</v>
      </c>
      <c r="L46" s="2">
        <f>MIN('CP-ACS'!M39)</f>
        <v>184.02</v>
      </c>
      <c r="M46" s="2">
        <f>MIN('CP-DCM-ACO'!M39)</f>
        <v>107.31</v>
      </c>
      <c r="N46" s="2">
        <f>MIN('MT-CP-DCM-ACO'!M39)</f>
        <v>44.11</v>
      </c>
    </row>
    <row r="47" spans="2:14" x14ac:dyDescent="0.3">
      <c r="B47" t="s">
        <v>44</v>
      </c>
      <c r="C47" s="2">
        <f>MAX('CP-ACS'!J40)</f>
        <v>71</v>
      </c>
      <c r="D47" s="2">
        <f>MAX('CP-DCM-ACO'!J40)</f>
        <v>98</v>
      </c>
      <c r="E47" s="2">
        <f>MAX('MT-CP-DCM-ACO'!J40)</f>
        <v>100</v>
      </c>
      <c r="F47" s="2">
        <f>MIN('CP-ACS'!K40)</f>
        <v>11.696819</v>
      </c>
      <c r="G47" s="2">
        <f>MIN('CP-DCM-ACO'!K40)</f>
        <v>13.873308</v>
      </c>
      <c r="H47" s="2">
        <f>MIN('MT-CP-DCM-ACO'!K40)</f>
        <v>3.3448220000000002</v>
      </c>
      <c r="I47" s="2">
        <f>MIN('CP-ACS'!L40)</f>
        <v>19.195988</v>
      </c>
      <c r="J47" s="2">
        <f>MIN('CP-DCM-ACO'!L40)</f>
        <v>17.886634999999998</v>
      </c>
      <c r="K47" s="2">
        <f>MIN('MT-CP-DCM-ACO'!L40)</f>
        <v>2.5241169999999999</v>
      </c>
      <c r="L47" s="2">
        <f>MIN('CP-ACS'!M40)</f>
        <v>365.3</v>
      </c>
      <c r="M47" s="2">
        <f>MIN('CP-DCM-ACO'!M40)</f>
        <v>272.27</v>
      </c>
      <c r="N47" s="2">
        <f>MIN('MT-CP-DCM-ACO'!M40)</f>
        <v>89.29</v>
      </c>
    </row>
    <row r="48" spans="2:14" x14ac:dyDescent="0.3">
      <c r="B48" t="s">
        <v>45</v>
      </c>
      <c r="C48" s="2">
        <f>MAX('CP-ACS'!J41)</f>
        <v>73</v>
      </c>
      <c r="D48" s="2">
        <f>MAX('CP-DCM-ACO'!J41)</f>
        <v>100</v>
      </c>
      <c r="E48" s="2">
        <f>MAX('MT-CP-DCM-ACO'!J41)</f>
        <v>100</v>
      </c>
      <c r="F48" s="2">
        <f>MIN('CP-ACS'!K41)</f>
        <v>11.808764999999999</v>
      </c>
      <c r="G48" s="2">
        <f>MIN('CP-DCM-ACO'!K41)</f>
        <v>10.543021</v>
      </c>
      <c r="H48" s="2">
        <f>MIN('MT-CP-DCM-ACO'!K41)</f>
        <v>3.3129149999999998</v>
      </c>
      <c r="I48" s="2">
        <f>MIN('CP-ACS'!L41)</f>
        <v>19.824708999999999</v>
      </c>
      <c r="J48" s="2">
        <f>MIN('CP-DCM-ACO'!L41)</f>
        <v>9.769933</v>
      </c>
      <c r="K48" s="2">
        <f>MIN('MT-CP-DCM-ACO'!L41)</f>
        <v>3.0046240000000002</v>
      </c>
      <c r="L48" s="2">
        <f>MIN('CP-ACS'!M41)</f>
        <v>380.75</v>
      </c>
      <c r="M48" s="2">
        <f>MIN('CP-DCM-ACO'!M41)</f>
        <v>183.27</v>
      </c>
      <c r="N48" s="2">
        <f>MIN('MT-CP-DCM-ACO'!M41)</f>
        <v>90.55</v>
      </c>
    </row>
    <row r="49" spans="2:14" x14ac:dyDescent="0.3">
      <c r="B49" t="s">
        <v>46</v>
      </c>
      <c r="C49" s="2">
        <f>MAX('CP-ACS'!J42)</f>
        <v>65</v>
      </c>
      <c r="D49" s="2">
        <f>MAX('CP-DCM-ACO'!J42)</f>
        <v>100</v>
      </c>
      <c r="E49" s="2">
        <f>MAX('MT-CP-DCM-ACO'!J42)</f>
        <v>100</v>
      </c>
      <c r="F49" s="2">
        <f>MIN('CP-ACS'!K42)</f>
        <v>18.090098000000001</v>
      </c>
      <c r="G49" s="2">
        <f>MIN('CP-DCM-ACO'!K42)</f>
        <v>12.238474</v>
      </c>
      <c r="H49" s="2">
        <f>MIN('MT-CP-DCM-ACO'!K42)</f>
        <v>4.6709209999999999</v>
      </c>
      <c r="I49" s="2">
        <f>MIN('CP-ACS'!L42)</f>
        <v>25.882778999999999</v>
      </c>
      <c r="J49" s="2">
        <f>MIN('CP-DCM-ACO'!L42)</f>
        <v>14.421006</v>
      </c>
      <c r="K49" s="2">
        <f>MIN('MT-CP-DCM-ACO'!L42)</f>
        <v>2.8518119999999998</v>
      </c>
      <c r="L49" s="2">
        <f>MIN('CP-ACS'!M42)</f>
        <v>605.41999999999996</v>
      </c>
      <c r="M49" s="2">
        <f>MIN('CP-DCM-ACO'!M42)</f>
        <v>334.37</v>
      </c>
      <c r="N49" s="2">
        <f>MIN('MT-CP-DCM-ACO'!M42)</f>
        <v>124.28</v>
      </c>
    </row>
    <row r="50" spans="2:14" x14ac:dyDescent="0.3">
      <c r="B50" t="s">
        <v>47</v>
      </c>
      <c r="C50" s="2">
        <f>MAX('CP-ACS'!J43)</f>
        <v>69</v>
      </c>
      <c r="D50" s="2">
        <f>MAX('CP-DCM-ACO'!J43)</f>
        <v>98</v>
      </c>
      <c r="E50" s="2">
        <f>MAX('MT-CP-DCM-ACO'!J43)</f>
        <v>100</v>
      </c>
      <c r="F50" s="2">
        <f>MIN('CP-ACS'!K43)</f>
        <v>15.829314999999999</v>
      </c>
      <c r="G50" s="2">
        <f>MIN('CP-DCM-ACO'!K43)</f>
        <v>10.259650000000001</v>
      </c>
      <c r="H50" s="2">
        <f>MIN('MT-CP-DCM-ACO'!K43)</f>
        <v>4.1934930000000001</v>
      </c>
      <c r="I50" s="2">
        <f>MIN('CP-ACS'!L43)</f>
        <v>25.067218</v>
      </c>
      <c r="J50" s="2">
        <f>MIN('CP-DCM-ACO'!L43)</f>
        <v>15.95452</v>
      </c>
      <c r="K50" s="2">
        <f>MIN('MT-CP-DCM-ACO'!L43)</f>
        <v>3.431216</v>
      </c>
      <c r="L50" s="2">
        <f>MIN('CP-ACS'!M43)</f>
        <v>620.92999999999995</v>
      </c>
      <c r="M50" s="2">
        <f>MIN('CP-DCM-ACO'!M43)</f>
        <v>326.67</v>
      </c>
      <c r="N50" s="2">
        <f>MIN('MT-CP-DCM-ACO'!M43)</f>
        <v>120.16</v>
      </c>
    </row>
    <row r="51" spans="2:14" x14ac:dyDescent="0.3">
      <c r="B51" t="s">
        <v>48</v>
      </c>
      <c r="C51" s="2">
        <f>MAX('CP-ACS'!J44)</f>
        <v>86</v>
      </c>
      <c r="D51" s="2">
        <f>MAX('CP-DCM-ACO'!J44)</f>
        <v>100</v>
      </c>
      <c r="E51" s="2">
        <f>MAX('MT-CP-DCM-ACO'!J44)</f>
        <v>100</v>
      </c>
      <c r="F51" s="2">
        <f>MIN('CP-ACS'!K44)</f>
        <v>10.367687999999999</v>
      </c>
      <c r="G51" s="2">
        <f>MIN('CP-DCM-ACO'!K44)</f>
        <v>6.0346390000000003</v>
      </c>
      <c r="H51" s="2">
        <f>MIN('MT-CP-DCM-ACO'!K44)</f>
        <v>2.5666869999999999</v>
      </c>
      <c r="I51" s="2">
        <f>MIN('CP-ACS'!L44)</f>
        <v>18.868814</v>
      </c>
      <c r="J51" s="2">
        <f>MIN('CP-DCM-ACO'!L44)</f>
        <v>5.3747069999999999</v>
      </c>
      <c r="K51" s="2">
        <f>MIN('MT-CP-DCM-ACO'!L44)</f>
        <v>1.5847340000000001</v>
      </c>
      <c r="L51" s="2">
        <f>MIN('CP-ACS'!M44)</f>
        <v>380.02</v>
      </c>
      <c r="M51" s="2">
        <f>MIN('CP-DCM-ACO'!M44)</f>
        <v>177.63</v>
      </c>
      <c r="N51" s="2">
        <f>MIN('MT-CP-DCM-ACO'!M44)</f>
        <v>66.72</v>
      </c>
    </row>
    <row r="52" spans="2:14" x14ac:dyDescent="0.3">
      <c r="B52" t="s">
        <v>49</v>
      </c>
      <c r="C52" s="2">
        <f>MAX('CP-ACS'!J45)</f>
        <v>71</v>
      </c>
      <c r="D52" s="2">
        <f>MAX('CP-DCM-ACO'!J45)</f>
        <v>96</v>
      </c>
      <c r="E52" s="2">
        <f>MAX('MT-CP-DCM-ACO'!J45)</f>
        <v>100</v>
      </c>
      <c r="F52" s="2">
        <f>MIN('CP-ACS'!K45)</f>
        <v>14.926876999999999</v>
      </c>
      <c r="G52" s="2">
        <f>MIN('CP-DCM-ACO'!K45)</f>
        <v>18.670200999999999</v>
      </c>
      <c r="H52" s="2">
        <f>MIN('MT-CP-DCM-ACO'!K45)</f>
        <v>4.8915740000000003</v>
      </c>
      <c r="I52" s="2">
        <f>MIN('CP-ACS'!L45)</f>
        <v>21.443124000000001</v>
      </c>
      <c r="J52" s="2">
        <f>MIN('CP-DCM-ACO'!L45)</f>
        <v>22.5351</v>
      </c>
      <c r="K52" s="2">
        <f>MIN('MT-CP-DCM-ACO'!L45)</f>
        <v>4.3757830000000002</v>
      </c>
      <c r="L52" s="2">
        <f>MIN('CP-ACS'!M45)</f>
        <v>515.99</v>
      </c>
      <c r="M52" s="2">
        <f>MIN('CP-DCM-ACO'!M45)</f>
        <v>352.34</v>
      </c>
      <c r="N52" s="2">
        <f>MIN('MT-CP-DCM-ACO'!M45)</f>
        <v>133.35</v>
      </c>
    </row>
    <row r="53" spans="2:14" x14ac:dyDescent="0.3">
      <c r="B53" t="s">
        <v>50</v>
      </c>
      <c r="C53" s="2">
        <f>MAX('CP-ACS'!J46)</f>
        <v>82</v>
      </c>
      <c r="D53" s="2">
        <f>MAX('CP-DCM-ACO'!J46)</f>
        <v>100</v>
      </c>
      <c r="E53" s="2">
        <f>MAX('MT-CP-DCM-ACO'!J46)</f>
        <v>100</v>
      </c>
      <c r="F53" s="2">
        <f>MIN('CP-ACS'!K46)</f>
        <v>6.4067689999999997</v>
      </c>
      <c r="G53" s="2">
        <f>MIN('CP-DCM-ACO'!K46)</f>
        <v>6.0003900000000003</v>
      </c>
      <c r="H53" s="2">
        <f>MIN('MT-CP-DCM-ACO'!K46)</f>
        <v>2.7539250000000002</v>
      </c>
      <c r="I53" s="2">
        <f>MIN('CP-ACS'!L46)</f>
        <v>9.9276710000000001</v>
      </c>
      <c r="J53" s="2">
        <f>MIN('CP-DCM-ACO'!L46)</f>
        <v>6.7012999999999998</v>
      </c>
      <c r="K53" s="2">
        <f>MIN('MT-CP-DCM-ACO'!L46)</f>
        <v>2.2296040000000001</v>
      </c>
      <c r="L53" s="2">
        <f>MIN('CP-ACS'!M46)</f>
        <v>258.83999999999997</v>
      </c>
      <c r="M53" s="2">
        <f>MIN('CP-DCM-ACO'!M46)</f>
        <v>194.3</v>
      </c>
      <c r="N53" s="2">
        <f>MIN('MT-CP-DCM-ACO'!M46)</f>
        <v>76.75</v>
      </c>
    </row>
    <row r="54" spans="2:14" x14ac:dyDescent="0.3">
      <c r="B54" t="s">
        <v>51</v>
      </c>
      <c r="C54" s="2">
        <f>MAX('CP-ACS'!J47)</f>
        <v>29</v>
      </c>
      <c r="D54" s="2">
        <f>MAX('CP-DCM-ACO'!J47)</f>
        <v>79</v>
      </c>
      <c r="E54" s="2">
        <f>MAX('MT-CP-DCM-ACO'!J47)</f>
        <v>97</v>
      </c>
      <c r="F54" s="2">
        <f>MIN('CP-ACS'!K47)</f>
        <v>18.844351</v>
      </c>
      <c r="G54" s="2">
        <f>MIN('CP-DCM-ACO'!K47)</f>
        <v>29.309183999999998</v>
      </c>
      <c r="H54" s="2">
        <f>MIN('MT-CP-DCM-ACO'!K47)</f>
        <v>14.936764999999999</v>
      </c>
      <c r="I54" s="2">
        <f>MIN('CP-ACS'!L47)</f>
        <v>22.202805999999999</v>
      </c>
      <c r="J54" s="2">
        <f>MIN('CP-DCM-ACO'!L47)</f>
        <v>32.504510000000003</v>
      </c>
      <c r="K54" s="2">
        <f>MIN('MT-CP-DCM-ACO'!L47)</f>
        <v>15.345062</v>
      </c>
      <c r="L54" s="2">
        <f>MIN('CP-ACS'!M47)</f>
        <v>613.9</v>
      </c>
      <c r="M54" s="2">
        <f>MIN('CP-DCM-ACO'!M47)</f>
        <v>884.97</v>
      </c>
      <c r="N54" s="2">
        <f>MIN('MT-CP-DCM-ACO'!M47)</f>
        <v>397.39</v>
      </c>
    </row>
    <row r="55" spans="2:14" x14ac:dyDescent="0.3">
      <c r="B55" t="s">
        <v>52</v>
      </c>
      <c r="C55" s="2">
        <f>MAX('CP-ACS'!J48)</f>
        <v>84</v>
      </c>
      <c r="D55" s="2">
        <f>MAX('CP-DCM-ACO'!J48)</f>
        <v>100</v>
      </c>
      <c r="E55" s="2">
        <f>MAX('MT-CP-DCM-ACO'!J48)</f>
        <v>100</v>
      </c>
      <c r="F55" s="2">
        <f>MIN('CP-ACS'!K48)</f>
        <v>7.4034190000000004</v>
      </c>
      <c r="G55" s="2">
        <f>MIN('CP-DCM-ACO'!K48)</f>
        <v>6.4763109999999999</v>
      </c>
      <c r="H55" s="2">
        <f>MIN('MT-CP-DCM-ACO'!K48)</f>
        <v>3.0620699999999998</v>
      </c>
      <c r="I55" s="2">
        <f>MIN('CP-ACS'!L48)</f>
        <v>12.248431</v>
      </c>
      <c r="J55" s="2">
        <f>MIN('CP-DCM-ACO'!L48)</f>
        <v>6.6769769999999999</v>
      </c>
      <c r="K55" s="2">
        <f>MIN('MT-CP-DCM-ACO'!L48)</f>
        <v>2.4985490000000001</v>
      </c>
      <c r="L55" s="2">
        <f>MIN('CP-ACS'!M48)</f>
        <v>251.55</v>
      </c>
      <c r="M55" s="2">
        <f>MIN('CP-DCM-ACO'!M48)</f>
        <v>190.58</v>
      </c>
      <c r="N55" s="2">
        <f>MIN('MT-CP-DCM-ACO'!M48)</f>
        <v>80.290000000000006</v>
      </c>
    </row>
    <row r="56" spans="2:14" x14ac:dyDescent="0.3">
      <c r="B56" t="s">
        <v>53</v>
      </c>
      <c r="C56" s="2">
        <f>MAX('CP-ACS'!J49)</f>
        <v>76</v>
      </c>
      <c r="D56" s="2">
        <f>MAX('CP-DCM-ACO'!J49)</f>
        <v>100</v>
      </c>
      <c r="E56" s="2">
        <f>MAX('MT-CP-DCM-ACO'!J49)</f>
        <v>100</v>
      </c>
      <c r="F56" s="2">
        <f>MIN('CP-ACS'!K49)</f>
        <v>7.7510490000000001</v>
      </c>
      <c r="G56" s="2">
        <f>MIN('CP-DCM-ACO'!K49)</f>
        <v>5.9011110000000002</v>
      </c>
      <c r="H56" s="2">
        <f>MIN('MT-CP-DCM-ACO'!K49)</f>
        <v>2.5244589999999998</v>
      </c>
      <c r="I56" s="2">
        <f>MIN('CP-ACS'!L49)</f>
        <v>15.031805</v>
      </c>
      <c r="J56" s="2">
        <f>MIN('CP-DCM-ACO'!L49)</f>
        <v>6.2076450000000003</v>
      </c>
      <c r="K56" s="2">
        <f>MIN('MT-CP-DCM-ACO'!L49)</f>
        <v>1.874047</v>
      </c>
      <c r="L56" s="2">
        <f>MIN('CP-ACS'!M49)</f>
        <v>240.43</v>
      </c>
      <c r="M56" s="2">
        <f>MIN('CP-DCM-ACO'!M49)</f>
        <v>169.84</v>
      </c>
      <c r="N56" s="2">
        <f>MIN('MT-CP-DCM-ACO'!M49)</f>
        <v>64.959999999999994</v>
      </c>
    </row>
    <row r="57" spans="2:14" x14ac:dyDescent="0.3">
      <c r="B57" t="s">
        <v>54</v>
      </c>
      <c r="C57" s="2">
        <f>MAX('CP-ACS'!J50)</f>
        <v>86</v>
      </c>
      <c r="D57" s="2">
        <f>MAX('CP-DCM-ACO'!J50)</f>
        <v>99</v>
      </c>
      <c r="E57" s="2">
        <f>MAX('MT-CP-DCM-ACO'!J50)</f>
        <v>100</v>
      </c>
      <c r="F57" s="2">
        <f>MIN('CP-ACS'!K50)</f>
        <v>10.666027</v>
      </c>
      <c r="G57" s="2">
        <f>MIN('CP-DCM-ACO'!K50)</f>
        <v>11.059424</v>
      </c>
      <c r="H57" s="2">
        <f>MIN('MT-CP-DCM-ACO'!K50)</f>
        <v>2.9767389999999998</v>
      </c>
      <c r="I57" s="2">
        <f>MIN('CP-ACS'!L50)</f>
        <v>17.229358000000001</v>
      </c>
      <c r="J57" s="2">
        <f>MIN('CP-DCM-ACO'!L50)</f>
        <v>15.23019</v>
      </c>
      <c r="K57" s="2">
        <f>MIN('MT-CP-DCM-ACO'!L50)</f>
        <v>1.951776</v>
      </c>
      <c r="L57" s="2">
        <f>MIN('CP-ACS'!M50)</f>
        <v>391.24</v>
      </c>
      <c r="M57" s="2">
        <f>MIN('CP-DCM-ACO'!M50)</f>
        <v>251.26</v>
      </c>
      <c r="N57" s="2">
        <f>MIN('MT-CP-DCM-ACO'!M50)</f>
        <v>77.45</v>
      </c>
    </row>
    <row r="58" spans="2:14" x14ac:dyDescent="0.3">
      <c r="B58" t="s">
        <v>55</v>
      </c>
      <c r="C58" s="2">
        <f>MAX('CP-ACS'!J51)</f>
        <v>65</v>
      </c>
      <c r="D58" s="2">
        <f>MAX('CP-DCM-ACO'!J51)</f>
        <v>96</v>
      </c>
      <c r="E58" s="2">
        <f>MAX('MT-CP-DCM-ACO'!J51)</f>
        <v>100</v>
      </c>
      <c r="F58" s="2">
        <f>MIN('CP-ACS'!K51)</f>
        <v>11.779161</v>
      </c>
      <c r="G58" s="2">
        <f>MIN('CP-DCM-ACO'!K51)</f>
        <v>9.5812109999999997</v>
      </c>
      <c r="H58" s="2">
        <f>MIN('MT-CP-DCM-ACO'!K51)</f>
        <v>3.315429</v>
      </c>
      <c r="I58" s="2">
        <f>MIN('CP-ACS'!L51)</f>
        <v>19.135251</v>
      </c>
      <c r="J58" s="2">
        <f>MIN('CP-DCM-ACO'!L51)</f>
        <v>14.841212000000001</v>
      </c>
      <c r="K58" s="2">
        <f>MIN('MT-CP-DCM-ACO'!L51)</f>
        <v>2.6694650000000002</v>
      </c>
      <c r="L58" s="2">
        <f>MIN('CP-ACS'!M51)</f>
        <v>454.4</v>
      </c>
      <c r="M58" s="2">
        <f>MIN('CP-DCM-ACO'!M51)</f>
        <v>224.51</v>
      </c>
      <c r="N58" s="2">
        <f>MIN('MT-CP-DCM-ACO'!M51)</f>
        <v>94.55</v>
      </c>
    </row>
    <row r="59" spans="2:14" x14ac:dyDescent="0.3">
      <c r="B59" t="s">
        <v>56</v>
      </c>
      <c r="C59" s="2">
        <f>MAX('CP-ACS'!J52)</f>
        <v>79</v>
      </c>
      <c r="D59" s="2">
        <f>MAX('CP-DCM-ACO'!J52)</f>
        <v>97</v>
      </c>
      <c r="E59" s="2">
        <f>MAX('MT-CP-DCM-ACO'!J52)</f>
        <v>100</v>
      </c>
      <c r="F59" s="2">
        <f>MIN('CP-ACS'!K52)</f>
        <v>11.443623000000001</v>
      </c>
      <c r="G59" s="2">
        <f>MIN('CP-DCM-ACO'!K52)</f>
        <v>13.060961000000001</v>
      </c>
      <c r="H59" s="2">
        <f>MIN('MT-CP-DCM-ACO'!K52)</f>
        <v>3.0644110000000002</v>
      </c>
      <c r="I59" s="2">
        <f>MIN('CP-ACS'!L52)</f>
        <v>16.505122</v>
      </c>
      <c r="J59" s="2">
        <f>MIN('CP-DCM-ACO'!L52)</f>
        <v>14.409735</v>
      </c>
      <c r="K59" s="2">
        <f>MIN('MT-CP-DCM-ACO'!L52)</f>
        <v>2.0066440000000001</v>
      </c>
      <c r="L59" s="2">
        <f>MIN('CP-ACS'!M52)</f>
        <v>363.01</v>
      </c>
      <c r="M59" s="2">
        <f>MIN('CP-DCM-ACO'!M52)</f>
        <v>212.74</v>
      </c>
      <c r="N59" s="2">
        <f>MIN('MT-CP-DCM-ACO'!M52)</f>
        <v>79.61</v>
      </c>
    </row>
    <row r="60" spans="2:14" x14ac:dyDescent="0.3">
      <c r="B60" t="s">
        <v>57</v>
      </c>
      <c r="C60" s="2">
        <f>MAX('CP-ACS'!J53)</f>
        <v>92</v>
      </c>
      <c r="D60" s="2">
        <f>MAX('CP-DCM-ACO'!J53)</f>
        <v>100</v>
      </c>
      <c r="E60" s="2">
        <f>MAX('MT-CP-DCM-ACO'!J53)</f>
        <v>100</v>
      </c>
      <c r="F60" s="2">
        <f>MIN('CP-ACS'!K53)</f>
        <v>8.2383109999999995</v>
      </c>
      <c r="G60" s="2">
        <f>MIN('CP-DCM-ACO'!K53)</f>
        <v>6.4747810000000001</v>
      </c>
      <c r="H60" s="2">
        <f>MIN('MT-CP-DCM-ACO'!K53)</f>
        <v>2.8295430000000001</v>
      </c>
      <c r="I60" s="2">
        <f>MIN('CP-ACS'!L53)</f>
        <v>16.677617000000001</v>
      </c>
      <c r="J60" s="2">
        <f>MIN('CP-DCM-ACO'!L53)</f>
        <v>6.274654</v>
      </c>
      <c r="K60" s="2">
        <f>MIN('MT-CP-DCM-ACO'!L53)</f>
        <v>1.952688</v>
      </c>
      <c r="L60" s="2">
        <f>MIN('CP-ACS'!M53)</f>
        <v>293.42</v>
      </c>
      <c r="M60" s="2">
        <f>MIN('CP-DCM-ACO'!M53)</f>
        <v>139.29</v>
      </c>
      <c r="N60" s="2">
        <f>MIN('MT-CP-DCM-ACO'!M53)</f>
        <v>71.33</v>
      </c>
    </row>
    <row r="61" spans="2:14" x14ac:dyDescent="0.3">
      <c r="B61" t="s">
        <v>58</v>
      </c>
      <c r="C61" s="2">
        <f>MAX('CP-ACS'!J54)</f>
        <v>59</v>
      </c>
      <c r="D61" s="2">
        <f>MAX('CP-DCM-ACO'!J54)</f>
        <v>96</v>
      </c>
      <c r="E61" s="2">
        <f>MAX('MT-CP-DCM-ACO'!J54)</f>
        <v>100</v>
      </c>
      <c r="F61" s="2">
        <f>MIN('CP-ACS'!K54)</f>
        <v>15.766793</v>
      </c>
      <c r="G61" s="2">
        <f>MIN('CP-DCM-ACO'!K54)</f>
        <v>20.423646999999999</v>
      </c>
      <c r="H61" s="2">
        <f>MIN('MT-CP-DCM-ACO'!K54)</f>
        <v>5.9792139999999998</v>
      </c>
      <c r="I61" s="2">
        <f>MIN('CP-ACS'!L54)</f>
        <v>21.789643999999999</v>
      </c>
      <c r="J61" s="2">
        <f>MIN('CP-DCM-ACO'!L54)</f>
        <v>20.281756999999999</v>
      </c>
      <c r="K61" s="2">
        <f>MIN('MT-CP-DCM-ACO'!L54)</f>
        <v>3.9609839999999998</v>
      </c>
      <c r="L61" s="2">
        <f>MIN('CP-ACS'!M54)</f>
        <v>545.64</v>
      </c>
      <c r="M61" s="2">
        <f>MIN('CP-DCM-ACO'!M54)</f>
        <v>432.1</v>
      </c>
      <c r="N61" s="2">
        <f>MIN('MT-CP-DCM-ACO'!M54)</f>
        <v>154.94999999999999</v>
      </c>
    </row>
    <row r="62" spans="2:14" x14ac:dyDescent="0.3">
      <c r="B62" t="s">
        <v>59</v>
      </c>
      <c r="C62" s="2">
        <f>MAX('CP-ACS'!J55)</f>
        <v>93</v>
      </c>
      <c r="D62" s="2">
        <f>MAX('CP-DCM-ACO'!J55)</f>
        <v>100</v>
      </c>
      <c r="E62" s="2">
        <f>MAX('MT-CP-DCM-ACO'!J55)</f>
        <v>100</v>
      </c>
      <c r="F62" s="2">
        <f>MIN('CP-ACS'!K55)</f>
        <v>6.2600509999999998</v>
      </c>
      <c r="G62" s="2">
        <f>MIN('CP-DCM-ACO'!K55)</f>
        <v>3.3660169999999998</v>
      </c>
      <c r="H62" s="2">
        <f>MIN('MT-CP-DCM-ACO'!K55)</f>
        <v>1.24447</v>
      </c>
      <c r="I62" s="2">
        <f>MIN('CP-ACS'!L55)</f>
        <v>13.043037999999999</v>
      </c>
      <c r="J62" s="2">
        <f>MIN('CP-DCM-ACO'!L55)</f>
        <v>2.8666209999999999</v>
      </c>
      <c r="K62" s="2">
        <f>MIN('MT-CP-DCM-ACO'!L55)</f>
        <v>0.82835499999999995</v>
      </c>
      <c r="L62" s="2">
        <f>MIN('CP-ACS'!M55)</f>
        <v>194.28</v>
      </c>
      <c r="M62" s="2">
        <f>MIN('CP-DCM-ACO'!M55)</f>
        <v>85.5</v>
      </c>
      <c r="N62" s="2">
        <f>MIN('MT-CP-DCM-ACO'!M55)</f>
        <v>33.93</v>
      </c>
    </row>
    <row r="63" spans="2:14" x14ac:dyDescent="0.3">
      <c r="B63" t="s">
        <v>60</v>
      </c>
      <c r="C63" s="2">
        <f>MAX('CP-ACS'!J56)</f>
        <v>86</v>
      </c>
      <c r="D63" s="2">
        <f>MAX('CP-DCM-ACO'!J56)</f>
        <v>100</v>
      </c>
      <c r="E63" s="2">
        <f>MAX('MT-CP-DCM-ACO'!J56)</f>
        <v>100</v>
      </c>
      <c r="F63" s="2">
        <f>MIN('CP-ACS'!K56)</f>
        <v>8.9929609999999993</v>
      </c>
      <c r="G63" s="2">
        <f>MIN('CP-DCM-ACO'!K56)</f>
        <v>5.3632809999999997</v>
      </c>
      <c r="H63" s="2">
        <f>MIN('MT-CP-DCM-ACO'!K56)</f>
        <v>1.9415990000000001</v>
      </c>
      <c r="I63" s="2">
        <f>MIN('CP-ACS'!L56)</f>
        <v>16.856400000000001</v>
      </c>
      <c r="J63" s="2">
        <f>MIN('CP-DCM-ACO'!L56)</f>
        <v>5.3080090000000002</v>
      </c>
      <c r="K63" s="2">
        <f>MIN('MT-CP-DCM-ACO'!L56)</f>
        <v>1.4198839999999999</v>
      </c>
      <c r="L63" s="2">
        <f>MIN('CP-ACS'!M56)</f>
        <v>279.19</v>
      </c>
      <c r="M63" s="2">
        <f>MIN('CP-DCM-ACO'!M56)</f>
        <v>130.27000000000001</v>
      </c>
      <c r="N63" s="2">
        <f>MIN('MT-CP-DCM-ACO'!M56)</f>
        <v>50.53</v>
      </c>
    </row>
    <row r="64" spans="2:14" x14ac:dyDescent="0.3">
      <c r="B64" t="s">
        <v>61</v>
      </c>
      <c r="C64" s="2">
        <f>MAX('CP-ACS'!J57)</f>
        <v>94</v>
      </c>
      <c r="D64" s="2">
        <f>MAX('CP-DCM-ACO'!J57)</f>
        <v>100</v>
      </c>
      <c r="E64" s="2">
        <f>MAX('MT-CP-DCM-ACO'!J57)</f>
        <v>100</v>
      </c>
      <c r="F64" s="2">
        <f>MIN('CP-ACS'!K57)</f>
        <v>5.9236230000000001</v>
      </c>
      <c r="G64" s="2">
        <f>MIN('CP-DCM-ACO'!K57)</f>
        <v>4.5848409999999999</v>
      </c>
      <c r="H64" s="2">
        <f>MIN('MT-CP-DCM-ACO'!K57)</f>
        <v>1.8124</v>
      </c>
      <c r="I64" s="2">
        <f>MIN('CP-ACS'!L57)</f>
        <v>10.634715999999999</v>
      </c>
      <c r="J64" s="2">
        <f>MIN('CP-DCM-ACO'!L57)</f>
        <v>3.7219009999999999</v>
      </c>
      <c r="K64" s="2">
        <f>MIN('MT-CP-DCM-ACO'!L57)</f>
        <v>0.99265999999999999</v>
      </c>
      <c r="L64" s="2">
        <f>MIN('CP-ACS'!M57)</f>
        <v>201.67</v>
      </c>
      <c r="M64" s="2">
        <f>MIN('CP-DCM-ACO'!M57)</f>
        <v>102.23</v>
      </c>
      <c r="N64" s="2">
        <f>MIN('MT-CP-DCM-ACO'!M57)</f>
        <v>48.96</v>
      </c>
    </row>
    <row r="65" spans="2:14" x14ac:dyDescent="0.3">
      <c r="B65" t="s">
        <v>62</v>
      </c>
      <c r="C65" s="2">
        <f>MAX('CP-ACS'!J58)</f>
        <v>47</v>
      </c>
      <c r="D65" s="2">
        <f>MAX('CP-DCM-ACO'!J58)</f>
        <v>83</v>
      </c>
      <c r="E65" s="2">
        <f>MAX('MT-CP-DCM-ACO'!J58)</f>
        <v>99</v>
      </c>
      <c r="F65" s="2">
        <f>MIN('CP-ACS'!K58)</f>
        <v>29.429897</v>
      </c>
      <c r="G65" s="2">
        <f>MIN('CP-DCM-ACO'!K58)</f>
        <v>36.178330000000003</v>
      </c>
      <c r="H65" s="2">
        <f>MIN('MT-CP-DCM-ACO'!K58)</f>
        <v>11.79331</v>
      </c>
      <c r="I65" s="2">
        <f>MIN('CP-ACS'!L58)</f>
        <v>31.314277000000001</v>
      </c>
      <c r="J65" s="2">
        <f>MIN('CP-DCM-ACO'!L58)</f>
        <v>29.293859000000001</v>
      </c>
      <c r="K65" s="2">
        <f>MIN('MT-CP-DCM-ACO'!L58)</f>
        <v>12.899556</v>
      </c>
      <c r="L65" s="2">
        <f>MIN('CP-ACS'!M58)</f>
        <v>929.81</v>
      </c>
      <c r="M65" s="2">
        <f>MIN('CP-DCM-ACO'!M58)</f>
        <v>580</v>
      </c>
      <c r="N65" s="2">
        <f>MIN('MT-CP-DCM-ACO'!M58)</f>
        <v>305.76</v>
      </c>
    </row>
    <row r="66" spans="2:14" x14ac:dyDescent="0.3">
      <c r="B66" t="s">
        <v>63</v>
      </c>
      <c r="C66" s="2">
        <f>MAX('CP-ACS'!J59)</f>
        <v>77</v>
      </c>
      <c r="D66" s="2">
        <f>MAX('CP-DCM-ACO'!J59)</f>
        <v>99</v>
      </c>
      <c r="E66" s="2">
        <f>MAX('MT-CP-DCM-ACO'!J59)</f>
        <v>100</v>
      </c>
      <c r="F66" s="2">
        <f>MIN('CP-ACS'!K59)</f>
        <v>4.5932870000000001</v>
      </c>
      <c r="G66" s="2">
        <f>MIN('CP-DCM-ACO'!K59)</f>
        <v>9.4550719999999995</v>
      </c>
      <c r="H66" s="2">
        <f>MIN('MT-CP-DCM-ACO'!K59)</f>
        <v>2.2576740000000002</v>
      </c>
      <c r="I66" s="2">
        <f>MIN('CP-ACS'!L59)</f>
        <v>7.3636249999999999</v>
      </c>
      <c r="J66" s="2">
        <f>MIN('CP-DCM-ACO'!L59)</f>
        <v>15.13067</v>
      </c>
      <c r="K66" s="2">
        <f>MIN('MT-CP-DCM-ACO'!L59)</f>
        <v>1.42188</v>
      </c>
      <c r="L66" s="2">
        <f>MIN('CP-ACS'!M59)</f>
        <v>146.22999999999999</v>
      </c>
      <c r="M66" s="2">
        <f>MIN('CP-DCM-ACO'!M59)</f>
        <v>159.31</v>
      </c>
      <c r="N66" s="2">
        <f>MIN('MT-CP-DCM-ACO'!M59)</f>
        <v>56.96</v>
      </c>
    </row>
    <row r="67" spans="2:14" x14ac:dyDescent="0.3">
      <c r="B67" t="s">
        <v>64</v>
      </c>
      <c r="C67" s="2">
        <f>MAX('CP-ACS'!J60)</f>
        <v>60</v>
      </c>
      <c r="D67" s="2">
        <f>MAX('CP-DCM-ACO'!J60)</f>
        <v>95</v>
      </c>
      <c r="E67" s="2">
        <f>MAX('MT-CP-DCM-ACO'!J60)</f>
        <v>100</v>
      </c>
      <c r="F67" s="2">
        <f>MIN('CP-ACS'!K60)</f>
        <v>17.974872999999999</v>
      </c>
      <c r="G67" s="2">
        <f>MIN('CP-DCM-ACO'!K60)</f>
        <v>28.008921999999998</v>
      </c>
      <c r="H67" s="2">
        <f>MIN('MT-CP-DCM-ACO'!K60)</f>
        <v>4.6571829999999999</v>
      </c>
      <c r="I67" s="2">
        <f>MIN('CP-ACS'!L60)</f>
        <v>25.035658999999999</v>
      </c>
      <c r="J67" s="2">
        <f>MIN('CP-DCM-ACO'!L60)</f>
        <v>24.061481000000001</v>
      </c>
      <c r="K67" s="2">
        <f>MIN('MT-CP-DCM-ACO'!L60)</f>
        <v>3.7023609999999998</v>
      </c>
      <c r="L67" s="2">
        <f>MIN('CP-ACS'!M60)</f>
        <v>635.91999999999996</v>
      </c>
      <c r="M67" s="2">
        <f>MIN('CP-DCM-ACO'!M60)</f>
        <v>408.08</v>
      </c>
      <c r="N67" s="2">
        <f>MIN('MT-CP-DCM-ACO'!M60)</f>
        <v>129.81</v>
      </c>
    </row>
    <row r="68" spans="2:14" x14ac:dyDescent="0.3">
      <c r="B68" t="s">
        <v>65</v>
      </c>
      <c r="C68" s="2">
        <f>MAX('CP-ACS'!J61)</f>
        <v>92</v>
      </c>
      <c r="D68" s="2">
        <f>MAX('CP-DCM-ACO'!J61)</f>
        <v>100</v>
      </c>
      <c r="E68" s="2">
        <f>MAX('MT-CP-DCM-ACO'!J61)</f>
        <v>100</v>
      </c>
      <c r="F68" s="2">
        <f>MIN('CP-ACS'!K61)</f>
        <v>8.7497430000000005</v>
      </c>
      <c r="G68" s="2">
        <f>MIN('CP-DCM-ACO'!K61)</f>
        <v>7.3217670000000004</v>
      </c>
      <c r="H68" s="2">
        <f>MIN('MT-CP-DCM-ACO'!K61)</f>
        <v>1.417759</v>
      </c>
      <c r="I68" s="2">
        <f>MIN('CP-ACS'!L61)</f>
        <v>15.864901</v>
      </c>
      <c r="J68" s="2">
        <f>MIN('CP-DCM-ACO'!L61)</f>
        <v>7.5257500000000004</v>
      </c>
      <c r="K68" s="2">
        <f>MIN('MT-CP-DCM-ACO'!L61)</f>
        <v>0.86545700000000003</v>
      </c>
      <c r="L68" s="2">
        <f>MIN('CP-ACS'!M61)</f>
        <v>332.43</v>
      </c>
      <c r="M68" s="2">
        <f>MIN('CP-DCM-ACO'!M61)</f>
        <v>104.12</v>
      </c>
      <c r="N68" s="2">
        <f>MIN('MT-CP-DCM-ACO'!M61)</f>
        <v>37.450000000000003</v>
      </c>
    </row>
    <row r="69" spans="2:14" x14ac:dyDescent="0.3">
      <c r="B69" t="s">
        <v>66</v>
      </c>
      <c r="C69" s="2">
        <f>MAX('CP-ACS'!J62)</f>
        <v>81</v>
      </c>
      <c r="D69" s="2">
        <f>MAX('CP-DCM-ACO'!J62)</f>
        <v>99</v>
      </c>
      <c r="E69" s="2">
        <f>MAX('MT-CP-DCM-ACO'!J62)</f>
        <v>100</v>
      </c>
      <c r="F69" s="2">
        <f>MIN('CP-ACS'!K62)</f>
        <v>10.39751</v>
      </c>
      <c r="G69" s="2">
        <f>MIN('CP-DCM-ACO'!K62)</f>
        <v>11.520718</v>
      </c>
      <c r="H69" s="2">
        <f>MIN('MT-CP-DCM-ACO'!K62)</f>
        <v>2.4145569999999998</v>
      </c>
      <c r="I69" s="2">
        <f>MIN('CP-ACS'!L62)</f>
        <v>18.966207000000001</v>
      </c>
      <c r="J69" s="2">
        <f>MIN('CP-DCM-ACO'!L62)</f>
        <v>15.309950000000001</v>
      </c>
      <c r="K69" s="2">
        <f>MIN('MT-CP-DCM-ACO'!L62)</f>
        <v>1.7405619999999999</v>
      </c>
      <c r="L69" s="2">
        <f>MIN('CP-ACS'!M62)</f>
        <v>400.23</v>
      </c>
      <c r="M69" s="2">
        <f>MIN('CP-DCM-ACO'!M62)</f>
        <v>167.28</v>
      </c>
      <c r="N69" s="2">
        <f>MIN('MT-CP-DCM-ACO'!M62)</f>
        <v>66.22</v>
      </c>
    </row>
    <row r="70" spans="2:14" x14ac:dyDescent="0.3">
      <c r="B70" t="s">
        <v>67</v>
      </c>
      <c r="C70" s="2">
        <f>MAX('CP-ACS'!J63)</f>
        <v>79</v>
      </c>
      <c r="D70" s="2">
        <f>MAX('CP-DCM-ACO'!J63)</f>
        <v>100</v>
      </c>
      <c r="E70" s="2">
        <f>MAX('MT-CP-DCM-ACO'!J63)</f>
        <v>100</v>
      </c>
      <c r="F70" s="2">
        <f>MIN('CP-ACS'!K63)</f>
        <v>15.894873</v>
      </c>
      <c r="G70" s="2">
        <f>MIN('CP-DCM-ACO'!K63)</f>
        <v>17.082715</v>
      </c>
      <c r="H70" s="2">
        <f>MIN('MT-CP-DCM-ACO'!K63)</f>
        <v>4.5496119999999998</v>
      </c>
      <c r="I70" s="2">
        <f>MIN('CP-ACS'!L63)</f>
        <v>22.553083000000001</v>
      </c>
      <c r="J70" s="2">
        <f>MIN('CP-DCM-ACO'!L63)</f>
        <v>18.273126000000001</v>
      </c>
      <c r="K70" s="2">
        <f>MIN('MT-CP-DCM-ACO'!L63)</f>
        <v>3.3723550000000002</v>
      </c>
      <c r="L70" s="2">
        <f>MIN('CP-ACS'!M63)</f>
        <v>597.04</v>
      </c>
      <c r="M70" s="2">
        <f>MIN('CP-DCM-ACO'!M63)</f>
        <v>269.19</v>
      </c>
      <c r="N70" s="2">
        <f>MIN('MT-CP-DCM-ACO'!M63)</f>
        <v>121.75</v>
      </c>
    </row>
    <row r="71" spans="2:14" x14ac:dyDescent="0.3">
      <c r="B71" t="s">
        <v>68</v>
      </c>
      <c r="C71" s="2">
        <f>MAX('CP-ACS'!J64)</f>
        <v>87</v>
      </c>
      <c r="D71" s="2">
        <f>MAX('CP-DCM-ACO'!J64)</f>
        <v>100</v>
      </c>
      <c r="E71" s="2">
        <f>MAX('MT-CP-DCM-ACO'!J64)</f>
        <v>100</v>
      </c>
      <c r="F71" s="2">
        <f>MIN('CP-ACS'!K64)</f>
        <v>15.580574</v>
      </c>
      <c r="G71" s="2">
        <f>MIN('CP-DCM-ACO'!K64)</f>
        <v>14.900781</v>
      </c>
      <c r="H71" s="2">
        <f>MIN('MT-CP-DCM-ACO'!K64)</f>
        <v>4.5288779999999997</v>
      </c>
      <c r="I71" s="2">
        <f>MIN('CP-ACS'!L64)</f>
        <v>24.556422999999999</v>
      </c>
      <c r="J71" s="2">
        <f>MIN('CP-DCM-ACO'!L64)</f>
        <v>11.285323</v>
      </c>
      <c r="K71" s="2">
        <f>MIN('MT-CP-DCM-ACO'!L64)</f>
        <v>3.0511349999999999</v>
      </c>
      <c r="L71" s="2">
        <f>MIN('CP-ACS'!M64)</f>
        <v>542.47</v>
      </c>
      <c r="M71" s="2">
        <f>MIN('CP-DCM-ACO'!M64)</f>
        <v>265.83</v>
      </c>
      <c r="N71" s="2">
        <f>MIN('MT-CP-DCM-ACO'!M64)</f>
        <v>114.28</v>
      </c>
    </row>
    <row r="72" spans="2:14" x14ac:dyDescent="0.3">
      <c r="B72" t="s">
        <v>69</v>
      </c>
      <c r="C72" s="2">
        <f>MAX('CP-ACS'!J65)</f>
        <v>84</v>
      </c>
      <c r="D72" s="2">
        <f>MAX('CP-DCM-ACO'!J65)</f>
        <v>100</v>
      </c>
      <c r="E72" s="2">
        <f>MAX('MT-CP-DCM-ACO'!J65)</f>
        <v>100</v>
      </c>
      <c r="F72" s="2">
        <f>MIN('CP-ACS'!K65)</f>
        <v>12.93172</v>
      </c>
      <c r="G72" s="2">
        <f>MIN('CP-DCM-ACO'!K65)</f>
        <v>7.9424780000000004</v>
      </c>
      <c r="H72" s="2">
        <f>MIN('MT-CP-DCM-ACO'!K65)</f>
        <v>2.1525780000000001</v>
      </c>
      <c r="I72" s="2">
        <f>MIN('CP-ACS'!L65)</f>
        <v>20.943259999999999</v>
      </c>
      <c r="J72" s="2">
        <f>MIN('CP-DCM-ACO'!L65)</f>
        <v>11.350758000000001</v>
      </c>
      <c r="K72" s="2">
        <f>MIN('MT-CP-DCM-ACO'!L65)</f>
        <v>1.4697849999999999</v>
      </c>
      <c r="L72" s="2">
        <f>MIN('CP-ACS'!M65)</f>
        <v>378.81</v>
      </c>
      <c r="M72" s="2">
        <f>MIN('CP-DCM-ACO'!M65)</f>
        <v>149.49</v>
      </c>
      <c r="N72" s="2">
        <f>MIN('MT-CP-DCM-ACO'!M65)</f>
        <v>56.89</v>
      </c>
    </row>
    <row r="73" spans="2:14" x14ac:dyDescent="0.3">
      <c r="B73" t="s">
        <v>70</v>
      </c>
      <c r="C73" s="2">
        <f>MAX('CP-ACS'!J66)</f>
        <v>87</v>
      </c>
      <c r="D73" s="2">
        <f>MAX('CP-DCM-ACO'!J66)</f>
        <v>100</v>
      </c>
      <c r="E73" s="2">
        <f>MAX('MT-CP-DCM-ACO'!J66)</f>
        <v>100</v>
      </c>
      <c r="F73" s="2">
        <f>MIN('CP-ACS'!K66)</f>
        <v>6.041493</v>
      </c>
      <c r="G73" s="2">
        <f>MIN('CP-DCM-ACO'!K66)</f>
        <v>7.4199299999999999</v>
      </c>
      <c r="H73" s="2">
        <f>MIN('MT-CP-DCM-ACO'!K66)</f>
        <v>1.4770540000000001</v>
      </c>
      <c r="I73" s="2">
        <f>MIN('CP-ACS'!L66)</f>
        <v>11.577602000000001</v>
      </c>
      <c r="J73" s="2">
        <f>MIN('CP-DCM-ACO'!L66)</f>
        <v>7.5462049999999996</v>
      </c>
      <c r="K73" s="2">
        <f>MIN('MT-CP-DCM-ACO'!L66)</f>
        <v>0.88858700000000002</v>
      </c>
      <c r="L73" s="2">
        <f>MIN('CP-ACS'!M66)</f>
        <v>201.21</v>
      </c>
      <c r="M73" s="2">
        <f>MIN('CP-DCM-ACO'!M66)</f>
        <v>131.68</v>
      </c>
      <c r="N73" s="2">
        <f>MIN('MT-CP-DCM-ACO'!M66)</f>
        <v>41.37</v>
      </c>
    </row>
    <row r="74" spans="2:14" x14ac:dyDescent="0.3">
      <c r="B74" t="s">
        <v>71</v>
      </c>
      <c r="C74" s="2">
        <f>MAX('CP-ACS'!J67)</f>
        <v>77</v>
      </c>
      <c r="D74" s="2">
        <f>MAX('CP-DCM-ACO'!J67)</f>
        <v>97</v>
      </c>
      <c r="E74" s="2">
        <f>MAX('MT-CP-DCM-ACO'!J67)</f>
        <v>100</v>
      </c>
      <c r="F74" s="2">
        <f>MIN('CP-ACS'!K67)</f>
        <v>14.521198999999999</v>
      </c>
      <c r="G74" s="2">
        <f>MIN('CP-DCM-ACO'!K67)</f>
        <v>20.533427</v>
      </c>
      <c r="H74" s="2">
        <f>MIN('MT-CP-DCM-ACO'!K67)</f>
        <v>4.9924679999999997</v>
      </c>
      <c r="I74" s="2">
        <f>MIN('CP-ACS'!L67)</f>
        <v>22.426991999999998</v>
      </c>
      <c r="J74" s="2">
        <f>MIN('CP-DCM-ACO'!L67)</f>
        <v>20.865414000000001</v>
      </c>
      <c r="K74" s="2">
        <f>MIN('MT-CP-DCM-ACO'!L67)</f>
        <v>3.5397340000000002</v>
      </c>
      <c r="L74" s="2">
        <f>MIN('CP-ACS'!M67)</f>
        <v>467.01</v>
      </c>
      <c r="M74" s="2">
        <f>MIN('CP-DCM-ACO'!M67)</f>
        <v>332.97</v>
      </c>
      <c r="N74" s="2">
        <f>MIN('MT-CP-DCM-ACO'!M67)</f>
        <v>128.25</v>
      </c>
    </row>
    <row r="75" spans="2:14" x14ac:dyDescent="0.3">
      <c r="B75" t="s">
        <v>72</v>
      </c>
      <c r="C75" s="2">
        <f>MAX('CP-ACS'!J68)</f>
        <v>84</v>
      </c>
      <c r="D75" s="2">
        <f>MAX('CP-DCM-ACO'!J68)</f>
        <v>98</v>
      </c>
      <c r="E75" s="2">
        <f>MAX('MT-CP-DCM-ACO'!J68)</f>
        <v>100</v>
      </c>
      <c r="F75" s="2">
        <f>MIN('CP-ACS'!K68)</f>
        <v>11.860391999999999</v>
      </c>
      <c r="G75" s="2">
        <f>MIN('CP-DCM-ACO'!K68)</f>
        <v>12.717596</v>
      </c>
      <c r="H75" s="2">
        <f>MIN('MT-CP-DCM-ACO'!K68)</f>
        <v>2.9627180000000002</v>
      </c>
      <c r="I75" s="2">
        <f>MIN('CP-ACS'!L68)</f>
        <v>18.974959999999999</v>
      </c>
      <c r="J75" s="2">
        <f>MIN('CP-DCM-ACO'!L68)</f>
        <v>10.521616</v>
      </c>
      <c r="K75" s="2">
        <f>MIN('MT-CP-DCM-ACO'!L68)</f>
        <v>1.9790479999999999</v>
      </c>
      <c r="L75" s="2">
        <f>MIN('CP-ACS'!M68)</f>
        <v>380.69</v>
      </c>
      <c r="M75" s="2">
        <f>MIN('CP-DCM-ACO'!M68)</f>
        <v>197.01</v>
      </c>
      <c r="N75" s="2">
        <f>MIN('MT-CP-DCM-ACO'!M68)</f>
        <v>77.16</v>
      </c>
    </row>
    <row r="76" spans="2:14" x14ac:dyDescent="0.3">
      <c r="B76" t="s">
        <v>73</v>
      </c>
      <c r="C76" s="2">
        <f>MAX('CP-ACS'!J69)</f>
        <v>91</v>
      </c>
      <c r="D76" s="2">
        <f>MAX('CP-DCM-ACO'!J69)</f>
        <v>100</v>
      </c>
      <c r="E76" s="2">
        <f>MAX('MT-CP-DCM-ACO'!J69)</f>
        <v>100</v>
      </c>
      <c r="F76" s="2">
        <f>MIN('CP-ACS'!K69)</f>
        <v>5.7167880000000002</v>
      </c>
      <c r="G76" s="2">
        <f>MIN('CP-DCM-ACO'!K69)</f>
        <v>5.007701</v>
      </c>
      <c r="H76" s="2">
        <f>MIN('MT-CP-DCM-ACO'!K69)</f>
        <v>1.1987380000000001</v>
      </c>
      <c r="I76" s="2">
        <f>MIN('CP-ACS'!L69)</f>
        <v>10.411823</v>
      </c>
      <c r="J76" s="2">
        <f>MIN('CP-DCM-ACO'!L69)</f>
        <v>6.1632540000000002</v>
      </c>
      <c r="K76" s="2">
        <f>MIN('MT-CP-DCM-ACO'!L69)</f>
        <v>0.75356299999999998</v>
      </c>
      <c r="L76" s="2">
        <f>MIN('CP-ACS'!M69)</f>
        <v>194.66</v>
      </c>
      <c r="M76" s="2">
        <f>MIN('CP-DCM-ACO'!M69)</f>
        <v>74.78</v>
      </c>
      <c r="N76" s="2">
        <f>MIN('MT-CP-DCM-ACO'!M69)</f>
        <v>33.79</v>
      </c>
    </row>
    <row r="77" spans="2:14" x14ac:dyDescent="0.3">
      <c r="B77" t="s">
        <v>74</v>
      </c>
      <c r="C77" s="2">
        <f>MAX('CP-ACS'!J70)</f>
        <v>67</v>
      </c>
      <c r="D77" s="2">
        <f>MAX('CP-DCM-ACO'!J70)</f>
        <v>94</v>
      </c>
      <c r="E77" s="2">
        <f>MAX('MT-CP-DCM-ACO'!J70)</f>
        <v>100</v>
      </c>
      <c r="F77" s="2">
        <f>MIN('CP-ACS'!K70)</f>
        <v>17.339175999999998</v>
      </c>
      <c r="G77" s="2">
        <f>MIN('CP-DCM-ACO'!K70)</f>
        <v>27.397631000000001</v>
      </c>
      <c r="H77" s="2">
        <f>MIN('MT-CP-DCM-ACO'!K70)</f>
        <v>5.8406830000000003</v>
      </c>
      <c r="I77" s="2">
        <f>MIN('CP-ACS'!L70)</f>
        <v>22.471715</v>
      </c>
      <c r="J77" s="2">
        <f>MIN('CP-DCM-ACO'!L70)</f>
        <v>26.633946000000002</v>
      </c>
      <c r="K77" s="2">
        <f>MIN('MT-CP-DCM-ACO'!L70)</f>
        <v>4.784211</v>
      </c>
      <c r="L77" s="2">
        <f>MIN('CP-ACS'!M70)</f>
        <v>541.46</v>
      </c>
      <c r="M77" s="2">
        <f>MIN('CP-DCM-ACO'!M70)</f>
        <v>495.16</v>
      </c>
      <c r="N77" s="2">
        <f>MIN('MT-CP-DCM-ACO'!M70)</f>
        <v>156.34</v>
      </c>
    </row>
    <row r="78" spans="2:14" x14ac:dyDescent="0.3">
      <c r="B78" t="s">
        <v>75</v>
      </c>
      <c r="C78" s="2">
        <f>MAX('CP-ACS'!J71)</f>
        <v>52</v>
      </c>
      <c r="D78" s="2">
        <f>MAX('CP-DCM-ACO'!J71)</f>
        <v>79</v>
      </c>
      <c r="E78" s="2">
        <f>MAX('MT-CP-DCM-ACO'!J71)</f>
        <v>100</v>
      </c>
      <c r="F78" s="2">
        <f>MIN('CP-ACS'!K71)</f>
        <v>15.069526</v>
      </c>
      <c r="G78" s="2">
        <f>MIN('CP-DCM-ACO'!K71)</f>
        <v>29.334295999999998</v>
      </c>
      <c r="H78" s="2">
        <f>MIN('MT-CP-DCM-ACO'!K71)</f>
        <v>7.8441289999999997</v>
      </c>
      <c r="I78" s="2">
        <f>MIN('CP-ACS'!L71)</f>
        <v>21.068729000000001</v>
      </c>
      <c r="J78" s="2">
        <f>MIN('CP-DCM-ACO'!L71)</f>
        <v>26.673845</v>
      </c>
      <c r="K78" s="2">
        <f>MIN('MT-CP-DCM-ACO'!L71)</f>
        <v>9.4525600000000001</v>
      </c>
      <c r="L78" s="2">
        <f>MIN('CP-ACS'!M71)</f>
        <v>590.66999999999996</v>
      </c>
      <c r="M78" s="2">
        <f>MIN('CP-DCM-ACO'!M71)</f>
        <v>527.14</v>
      </c>
      <c r="N78" s="2">
        <f>MIN('MT-CP-DCM-ACO'!M71)</f>
        <v>211.63</v>
      </c>
    </row>
    <row r="79" spans="2:14" x14ac:dyDescent="0.3">
      <c r="B79" t="s">
        <v>76</v>
      </c>
      <c r="C79" s="2">
        <f>MAX('CP-ACS'!J72)</f>
        <v>92</v>
      </c>
      <c r="D79" s="2">
        <f>MAX('CP-DCM-ACO'!J72)</f>
        <v>100</v>
      </c>
      <c r="E79" s="2">
        <f>MAX('MT-CP-DCM-ACO'!J72)</f>
        <v>100</v>
      </c>
      <c r="F79" s="2">
        <f>MIN('CP-ACS'!K72)</f>
        <v>7.7462929999999997</v>
      </c>
      <c r="G79" s="2">
        <f>MIN('CP-DCM-ACO'!K72)</f>
        <v>7.4604889999999999</v>
      </c>
      <c r="H79" s="2">
        <f>MIN('MT-CP-DCM-ACO'!K72)</f>
        <v>1.792751</v>
      </c>
      <c r="I79" s="2">
        <f>MIN('CP-ACS'!L72)</f>
        <v>14.498841000000001</v>
      </c>
      <c r="J79" s="2">
        <f>MIN('CP-DCM-ACO'!L72)</f>
        <v>6.8268430000000002</v>
      </c>
      <c r="K79" s="2">
        <f>MIN('MT-CP-DCM-ACO'!L72)</f>
        <v>1.160045</v>
      </c>
      <c r="L79" s="2">
        <f>MIN('CP-ACS'!M72)</f>
        <v>280.36</v>
      </c>
      <c r="M79" s="2">
        <f>MIN('CP-DCM-ACO'!M72)</f>
        <v>120.47</v>
      </c>
      <c r="N79" s="2">
        <f>MIN('MT-CP-DCM-ACO'!M72)</f>
        <v>46.09</v>
      </c>
    </row>
    <row r="80" spans="2:14" x14ac:dyDescent="0.3">
      <c r="B80" t="s">
        <v>77</v>
      </c>
      <c r="C80" s="2">
        <f>MAX('CP-ACS'!J73)</f>
        <v>16</v>
      </c>
      <c r="D80" s="2">
        <f>MAX('CP-DCM-ACO'!J73)</f>
        <v>27</v>
      </c>
      <c r="E80" s="2">
        <f>MAX('MT-CP-DCM-ACO'!J73)</f>
        <v>68</v>
      </c>
      <c r="F80" s="2">
        <f>MIN('CP-ACS'!K73)</f>
        <v>18.117573</v>
      </c>
      <c r="G80" s="2">
        <f>MIN('CP-DCM-ACO'!K73)</f>
        <v>44.334361000000001</v>
      </c>
      <c r="H80" s="2">
        <f>MIN('MT-CP-DCM-ACO'!K73)</f>
        <v>27.550871000000001</v>
      </c>
      <c r="I80" s="2">
        <f>MIN('CP-ACS'!L73)</f>
        <v>15.557634999999999</v>
      </c>
      <c r="J80" s="2">
        <f>MIN('CP-DCM-ACO'!L73)</f>
        <v>34.954915999999997</v>
      </c>
      <c r="K80" s="2">
        <f>MIN('MT-CP-DCM-ACO'!L73)</f>
        <v>27.298119</v>
      </c>
      <c r="L80" s="2">
        <f>MIN('CP-ACS'!M73)</f>
        <v>678.25</v>
      </c>
      <c r="M80" s="2">
        <f>MIN('CP-DCM-ACO'!M73)</f>
        <v>755.41</v>
      </c>
      <c r="N80" s="2">
        <f>MIN('MT-CP-DCM-ACO'!M73)</f>
        <v>775.04</v>
      </c>
    </row>
    <row r="81" spans="2:14" x14ac:dyDescent="0.3">
      <c r="B81" t="s">
        <v>78</v>
      </c>
      <c r="C81" s="2">
        <f>MAX('CP-ACS'!J74)</f>
        <v>89</v>
      </c>
      <c r="D81" s="2">
        <f>MAX('CP-DCM-ACO'!J74)</f>
        <v>99</v>
      </c>
      <c r="E81" s="2">
        <f>MAX('MT-CP-DCM-ACO'!J74)</f>
        <v>100</v>
      </c>
      <c r="F81" s="2">
        <f>MIN('CP-ACS'!K74)</f>
        <v>9.8076039999999995</v>
      </c>
      <c r="G81" s="2">
        <f>MIN('CP-DCM-ACO'!K74)</f>
        <v>11.193555999999999</v>
      </c>
      <c r="H81" s="2">
        <f>MIN('MT-CP-DCM-ACO'!K74)</f>
        <v>2.2881290000000001</v>
      </c>
      <c r="I81" s="2">
        <f>MIN('CP-ACS'!L74)</f>
        <v>18.449487999999999</v>
      </c>
      <c r="J81" s="2">
        <f>MIN('CP-DCM-ACO'!L74)</f>
        <v>11.249238999999999</v>
      </c>
      <c r="K81" s="2">
        <f>MIN('MT-CP-DCM-ACO'!L74)</f>
        <v>1.6576839999999999</v>
      </c>
      <c r="L81" s="2">
        <f>MIN('CP-ACS'!M74)</f>
        <v>321.48</v>
      </c>
      <c r="M81" s="2">
        <f>MIN('CP-DCM-ACO'!M74)</f>
        <v>178.97</v>
      </c>
      <c r="N81" s="2">
        <f>MIN('MT-CP-DCM-ACO'!M74)</f>
        <v>62.05</v>
      </c>
    </row>
    <row r="82" spans="2:14" x14ac:dyDescent="0.3">
      <c r="B82" t="s">
        <v>79</v>
      </c>
      <c r="C82" s="2">
        <f>MAX('CP-ACS'!J75)</f>
        <v>94</v>
      </c>
      <c r="D82" s="2">
        <f>MAX('CP-DCM-ACO'!J75)</f>
        <v>100</v>
      </c>
      <c r="E82" s="2">
        <f>MAX('MT-CP-DCM-ACO'!J75)</f>
        <v>100</v>
      </c>
      <c r="F82" s="2">
        <f>MIN('CP-ACS'!K75)</f>
        <v>6.0214730000000003</v>
      </c>
      <c r="G82" s="2">
        <f>MIN('CP-DCM-ACO'!K75)</f>
        <v>1.6680109999999999</v>
      </c>
      <c r="H82" s="2">
        <f>MIN('MT-CP-DCM-ACO'!K75)</f>
        <v>0.29277399999999998</v>
      </c>
      <c r="I82" s="2">
        <f>MIN('CP-ACS'!L75)</f>
        <v>13.712348</v>
      </c>
      <c r="J82" s="2">
        <f>MIN('CP-DCM-ACO'!L75)</f>
        <v>4.7383730000000002</v>
      </c>
      <c r="K82" s="2">
        <f>MIN('MT-CP-DCM-ACO'!L75)</f>
        <v>0.16944999999999999</v>
      </c>
      <c r="L82" s="2">
        <f>MIN('CP-ACS'!M75)</f>
        <v>283.86</v>
      </c>
      <c r="M82" s="2">
        <f>MIN('CP-DCM-ACO'!M75)</f>
        <v>41</v>
      </c>
      <c r="N82" s="2">
        <f>MIN('MT-CP-DCM-ACO'!M75)</f>
        <v>11.94</v>
      </c>
    </row>
    <row r="83" spans="2:14" x14ac:dyDescent="0.3">
      <c r="B83" t="s">
        <v>80</v>
      </c>
      <c r="C83" s="2">
        <f>MAX('CP-ACS'!J76)</f>
        <v>81</v>
      </c>
      <c r="D83" s="2">
        <f>MAX('CP-DCM-ACO'!J76)</f>
        <v>100</v>
      </c>
      <c r="E83" s="2">
        <f>MAX('MT-CP-DCM-ACO'!J76)</f>
        <v>100</v>
      </c>
      <c r="F83" s="2">
        <f>MIN('CP-ACS'!K76)</f>
        <v>5.0317119999999997</v>
      </c>
      <c r="G83" s="2">
        <f>MIN('CP-DCM-ACO'!K76)</f>
        <v>0.87811300000000003</v>
      </c>
      <c r="H83" s="2">
        <f>MIN('MT-CP-DCM-ACO'!K76)</f>
        <v>0.14723</v>
      </c>
      <c r="I83" s="2">
        <f>MIN('CP-ACS'!L76)</f>
        <v>15.460728</v>
      </c>
      <c r="J83" s="2">
        <f>MIN('CP-DCM-ACO'!L76)</f>
        <v>2.0724999999999998</v>
      </c>
      <c r="K83" s="2">
        <f>MIN('MT-CP-DCM-ACO'!L76)</f>
        <v>9.0803999999999996E-2</v>
      </c>
      <c r="L83" s="2">
        <f>MIN('CP-ACS'!M76)</f>
        <v>286.51</v>
      </c>
      <c r="M83" s="2">
        <f>MIN('CP-DCM-ACO'!M76)</f>
        <v>26.48</v>
      </c>
      <c r="N83" s="2">
        <f>MIN('MT-CP-DCM-ACO'!M76)</f>
        <v>6.81</v>
      </c>
    </row>
    <row r="84" spans="2:14" x14ac:dyDescent="0.3">
      <c r="B84" t="s">
        <v>81</v>
      </c>
      <c r="C84" s="2">
        <f>MAX('CP-ACS'!J77)</f>
        <v>77</v>
      </c>
      <c r="D84" s="2">
        <f>MAX('CP-DCM-ACO'!J77)</f>
        <v>100</v>
      </c>
      <c r="E84" s="2">
        <f>MAX('MT-CP-DCM-ACO'!J77)</f>
        <v>100</v>
      </c>
      <c r="F84" s="2">
        <f>MIN('CP-ACS'!K77)</f>
        <v>8.5961350000000003</v>
      </c>
      <c r="G84" s="2">
        <f>MIN('CP-DCM-ACO'!K77)</f>
        <v>3.3608609999999999</v>
      </c>
      <c r="H84" s="2">
        <f>MIN('MT-CP-DCM-ACO'!K77)</f>
        <v>0.28542499999999998</v>
      </c>
      <c r="I84" s="2">
        <f>MIN('CP-ACS'!L77)</f>
        <v>18.450372000000002</v>
      </c>
      <c r="J84" s="2">
        <f>MIN('CP-DCM-ACO'!L77)</f>
        <v>6.3941569999999999</v>
      </c>
      <c r="K84" s="2">
        <f>MIN('MT-CP-DCM-ACO'!L77)</f>
        <v>0.31940099999999999</v>
      </c>
      <c r="L84" s="2">
        <f>MIN('CP-ACS'!M77)</f>
        <v>461.91</v>
      </c>
      <c r="M84" s="2">
        <f>MIN('CP-DCM-ACO'!M77)</f>
        <v>100.6</v>
      </c>
      <c r="N84" s="2">
        <f>MIN('MT-CP-DCM-ACO'!M77)</f>
        <v>14.06</v>
      </c>
    </row>
    <row r="85" spans="2:14" x14ac:dyDescent="0.3">
      <c r="B85" t="s">
        <v>82</v>
      </c>
      <c r="C85" s="2">
        <f>MAX('CP-ACS'!J78)</f>
        <v>93</v>
      </c>
      <c r="D85" s="2">
        <f>MAX('CP-DCM-ACO'!J78)</f>
        <v>100</v>
      </c>
      <c r="E85" s="2">
        <f>MAX('MT-CP-DCM-ACO'!J78)</f>
        <v>100</v>
      </c>
      <c r="F85" s="2">
        <f>MIN('CP-ACS'!K78)</f>
        <v>4.06874</v>
      </c>
      <c r="G85" s="2">
        <f>MIN('CP-DCM-ACO'!K78)</f>
        <v>0.75449999999999995</v>
      </c>
      <c r="H85" s="2">
        <f>MIN('MT-CP-DCM-ACO'!K78)</f>
        <v>0.1888</v>
      </c>
      <c r="I85" s="2">
        <f>MIN('CP-ACS'!L78)</f>
        <v>14.643506</v>
      </c>
      <c r="J85" s="2">
        <f>MIN('CP-DCM-ACO'!L78)</f>
        <v>1.883475</v>
      </c>
      <c r="K85" s="2">
        <f>MIN('MT-CP-DCM-ACO'!L78)</f>
        <v>8.4390000000000007E-2</v>
      </c>
      <c r="L85" s="2">
        <f>MIN('CP-ACS'!M78)</f>
        <v>223.87</v>
      </c>
      <c r="M85" s="2">
        <f>MIN('CP-DCM-ACO'!M78)</f>
        <v>18.96</v>
      </c>
      <c r="N85" s="2">
        <f>MIN('MT-CP-DCM-ACO'!M78)</f>
        <v>7.61</v>
      </c>
    </row>
    <row r="86" spans="2:14" x14ac:dyDescent="0.3">
      <c r="B86" t="s">
        <v>83</v>
      </c>
      <c r="C86" s="2">
        <f>MAX('CP-ACS'!J79)</f>
        <v>63</v>
      </c>
      <c r="D86" s="2">
        <f>MAX('CP-DCM-ACO'!J79)</f>
        <v>100</v>
      </c>
      <c r="E86" s="2">
        <f>MAX('MT-CP-DCM-ACO'!J79)</f>
        <v>100</v>
      </c>
      <c r="F86" s="2">
        <f>MIN('CP-ACS'!K79)</f>
        <v>2.598649</v>
      </c>
      <c r="G86" s="2">
        <f>MIN('CP-DCM-ACO'!K79)</f>
        <v>3.9108559999999999</v>
      </c>
      <c r="H86" s="2">
        <f>MIN('MT-CP-DCM-ACO'!K79)</f>
        <v>0.52657799999999999</v>
      </c>
      <c r="I86" s="2">
        <f>MIN('CP-ACS'!L79)</f>
        <v>7.1084639999999997</v>
      </c>
      <c r="J86" s="2">
        <f>MIN('CP-DCM-ACO'!L79)</f>
        <v>8.1027609999999992</v>
      </c>
      <c r="K86" s="2">
        <f>MIN('MT-CP-DCM-ACO'!L79)</f>
        <v>0.49462600000000001</v>
      </c>
      <c r="L86" s="2">
        <f>MIN('CP-ACS'!M79)</f>
        <v>171.27</v>
      </c>
      <c r="M86" s="2">
        <f>MIN('CP-DCM-ACO'!M79)</f>
        <v>106.42</v>
      </c>
      <c r="N86" s="2">
        <f>MIN('MT-CP-DCM-ACO'!M79)</f>
        <v>23.69</v>
      </c>
    </row>
    <row r="87" spans="2:14" x14ac:dyDescent="0.3">
      <c r="B87" t="s">
        <v>84</v>
      </c>
      <c r="C87" s="2">
        <f>MAX('CP-ACS'!J80)</f>
        <v>29</v>
      </c>
      <c r="D87" s="2">
        <f>MAX('CP-DCM-ACO'!J80)</f>
        <v>83</v>
      </c>
      <c r="E87" s="2">
        <f>MAX('MT-CP-DCM-ACO'!J80)</f>
        <v>100</v>
      </c>
      <c r="F87" s="2">
        <f>MIN('CP-ACS'!K80)</f>
        <v>11.678478</v>
      </c>
      <c r="G87" s="2">
        <f>MIN('CP-DCM-ACO'!K80)</f>
        <v>16.503549</v>
      </c>
      <c r="H87" s="2">
        <f>MIN('MT-CP-DCM-ACO'!K80)</f>
        <v>3.184412</v>
      </c>
      <c r="I87" s="2">
        <f>MIN('CP-ACS'!L80)</f>
        <v>27.031704000000001</v>
      </c>
      <c r="J87" s="2">
        <f>MIN('CP-DCM-ACO'!L80)</f>
        <v>24.958870000000001</v>
      </c>
      <c r="K87" s="2">
        <f>MIN('MT-CP-DCM-ACO'!L80)</f>
        <v>8.1543729999999996</v>
      </c>
      <c r="L87" s="2">
        <f>MIN('CP-ACS'!M80)</f>
        <v>678.72</v>
      </c>
      <c r="M87" s="2">
        <f>MIN('CP-DCM-ACO'!M80)</f>
        <v>452.16</v>
      </c>
      <c r="N87" s="2">
        <f>MIN('MT-CP-DCM-ACO'!M80)</f>
        <v>143.55000000000001</v>
      </c>
    </row>
    <row r="88" spans="2:14" x14ac:dyDescent="0.3">
      <c r="B88" t="s">
        <v>85</v>
      </c>
      <c r="C88" s="2">
        <f>MAX('CP-ACS'!J81)</f>
        <v>90</v>
      </c>
      <c r="D88" s="2">
        <f>MAX('CP-DCM-ACO'!J81)</f>
        <v>100</v>
      </c>
      <c r="E88" s="2">
        <f>MAX('MT-CP-DCM-ACO'!J81)</f>
        <v>100</v>
      </c>
      <c r="F88" s="2">
        <f>MIN('CP-ACS'!K81)</f>
        <v>1.37215</v>
      </c>
      <c r="G88" s="2">
        <f>MIN('CP-DCM-ACO'!K81)</f>
        <v>0.49069400000000002</v>
      </c>
      <c r="H88" s="2">
        <f>MIN('MT-CP-DCM-ACO'!K81)</f>
        <v>0.142015</v>
      </c>
      <c r="I88" s="2">
        <f>MIN('CP-ACS'!L81)</f>
        <v>4.6901529999999996</v>
      </c>
      <c r="J88" s="2">
        <f>MIN('CP-DCM-ACO'!L81)</f>
        <v>0.51557399999999998</v>
      </c>
      <c r="K88" s="2">
        <f>MIN('MT-CP-DCM-ACO'!L81)</f>
        <v>8.0535999999999996E-2</v>
      </c>
      <c r="L88" s="2">
        <f>MIN('CP-ACS'!M81)</f>
        <v>64.69</v>
      </c>
      <c r="M88" s="2">
        <f>MIN('CP-DCM-ACO'!M81)</f>
        <v>16.010000000000002</v>
      </c>
      <c r="N88" s="2">
        <f>MIN('MT-CP-DCM-ACO'!M81)</f>
        <v>6.86</v>
      </c>
    </row>
    <row r="89" spans="2:14" x14ac:dyDescent="0.3">
      <c r="B89" t="s">
        <v>86</v>
      </c>
      <c r="C89" s="2">
        <f>MAX('CP-ACS'!J82)</f>
        <v>52</v>
      </c>
      <c r="D89" s="2">
        <f>MAX('CP-DCM-ACO'!J82)</f>
        <v>95</v>
      </c>
      <c r="E89" s="2">
        <f>MAX('MT-CP-DCM-ACO'!J82)</f>
        <v>100</v>
      </c>
      <c r="F89" s="2">
        <f>MIN('CP-ACS'!K82)</f>
        <v>10.417624</v>
      </c>
      <c r="G89" s="2">
        <f>MIN('CP-DCM-ACO'!K82)</f>
        <v>9.0419750000000008</v>
      </c>
      <c r="H89" s="2">
        <f>MIN('MT-CP-DCM-ACO'!K82)</f>
        <v>1.2157249999999999</v>
      </c>
      <c r="I89" s="2">
        <f>MIN('CP-ACS'!L82)</f>
        <v>24.071059999999999</v>
      </c>
      <c r="J89" s="2">
        <f>MIN('CP-DCM-ACO'!L82)</f>
        <v>20.011809</v>
      </c>
      <c r="K89" s="2">
        <f>MIN('MT-CP-DCM-ACO'!L82)</f>
        <v>6.7403820000000003</v>
      </c>
      <c r="L89" s="2">
        <f>MIN('CP-ACS'!M82)</f>
        <v>701.71</v>
      </c>
      <c r="M89" s="2">
        <f>MIN('CP-DCM-ACO'!M82)</f>
        <v>295.20999999999998</v>
      </c>
      <c r="N89" s="2">
        <f>MIN('MT-CP-DCM-ACO'!M82)</f>
        <v>58.55</v>
      </c>
    </row>
    <row r="90" spans="2:14" x14ac:dyDescent="0.3">
      <c r="B90" t="s">
        <v>87</v>
      </c>
      <c r="C90" s="2">
        <f>MAX('CP-ACS'!J83)</f>
        <v>88</v>
      </c>
      <c r="D90" s="2">
        <f>MAX('CP-DCM-ACO'!J83)</f>
        <v>100</v>
      </c>
      <c r="E90" s="2">
        <f>MAX('MT-CP-DCM-ACO'!J83)</f>
        <v>100</v>
      </c>
      <c r="F90" s="2">
        <f>MIN('CP-ACS'!K83)</f>
        <v>4.8372130000000002</v>
      </c>
      <c r="G90" s="2">
        <f>MIN('CP-DCM-ACO'!K83)</f>
        <v>3.5588340000000001</v>
      </c>
      <c r="H90" s="2">
        <f>MIN('MT-CP-DCM-ACO'!K83)</f>
        <v>0.56153500000000001</v>
      </c>
      <c r="I90" s="2">
        <f>MIN('CP-ACS'!L83)</f>
        <v>9.7784569999999995</v>
      </c>
      <c r="J90" s="2">
        <f>MIN('CP-DCM-ACO'!L83)</f>
        <v>5.6819980000000001</v>
      </c>
      <c r="K90" s="2">
        <f>MIN('MT-CP-DCM-ACO'!L83)</f>
        <v>0.50753000000000004</v>
      </c>
      <c r="L90" s="2">
        <f>MIN('CP-ACS'!M83)</f>
        <v>256.93</v>
      </c>
      <c r="M90" s="2">
        <f>MIN('CP-DCM-ACO'!M83)</f>
        <v>79.47</v>
      </c>
      <c r="N90" s="2">
        <f>MIN('MT-CP-DCM-ACO'!M83)</f>
        <v>20.18</v>
      </c>
    </row>
    <row r="91" spans="2:14" x14ac:dyDescent="0.3">
      <c r="B91" t="s">
        <v>88</v>
      </c>
      <c r="C91" s="2">
        <f>MAX('CP-ACS'!J84)</f>
        <v>82</v>
      </c>
      <c r="D91" s="2">
        <f>MAX('CP-DCM-ACO'!J84)</f>
        <v>100</v>
      </c>
      <c r="E91" s="2">
        <f>MAX('MT-CP-DCM-ACO'!J84)</f>
        <v>100</v>
      </c>
      <c r="F91" s="2">
        <f>MIN('CP-ACS'!K84)</f>
        <v>14.805918</v>
      </c>
      <c r="G91" s="2">
        <f>MIN('CP-DCM-ACO'!K84)</f>
        <v>10.501889</v>
      </c>
      <c r="H91" s="2">
        <f>MIN('MT-CP-DCM-ACO'!K84)</f>
        <v>1.6039730000000001</v>
      </c>
      <c r="I91" s="2">
        <f>MIN('CP-ACS'!L84)</f>
        <v>23.516273000000002</v>
      </c>
      <c r="J91" s="2">
        <f>MIN('CP-DCM-ACO'!L84)</f>
        <v>17.669927999999999</v>
      </c>
      <c r="K91" s="2">
        <f>MIN('MT-CP-DCM-ACO'!L84)</f>
        <v>1.4248339999999999</v>
      </c>
      <c r="L91" s="2">
        <f>MIN('CP-ACS'!M84)</f>
        <v>654.15</v>
      </c>
      <c r="M91" s="2">
        <f>MIN('CP-DCM-ACO'!M84)</f>
        <v>230.4</v>
      </c>
      <c r="N91" s="2">
        <f>MIN('MT-CP-DCM-ACO'!M84)</f>
        <v>56.47</v>
      </c>
    </row>
    <row r="92" spans="2:14" x14ac:dyDescent="0.3">
      <c r="B92" t="s">
        <v>89</v>
      </c>
      <c r="C92" s="2">
        <f>MAX('CP-ACS'!J85)</f>
        <v>90</v>
      </c>
      <c r="D92" s="2">
        <f>MAX('CP-DCM-ACO'!J85)</f>
        <v>100</v>
      </c>
      <c r="E92" s="2">
        <f>MAX('MT-CP-DCM-ACO'!J85)</f>
        <v>100</v>
      </c>
      <c r="F92" s="2">
        <f>MIN('CP-ACS'!K85)</f>
        <v>4.0619509999999996</v>
      </c>
      <c r="G92" s="2">
        <f>MIN('CP-DCM-ACO'!K85)</f>
        <v>0.97870100000000004</v>
      </c>
      <c r="H92" s="2">
        <f>MIN('MT-CP-DCM-ACO'!K85)</f>
        <v>0.200736</v>
      </c>
      <c r="I92" s="2">
        <f>MIN('CP-ACS'!L85)</f>
        <v>9.6666629999999998</v>
      </c>
      <c r="J92" s="2">
        <f>MIN('CP-DCM-ACO'!L85)</f>
        <v>1.7749980000000001</v>
      </c>
      <c r="K92" s="2">
        <f>MIN('MT-CP-DCM-ACO'!L85)</f>
        <v>0.116358</v>
      </c>
      <c r="L92" s="2">
        <f>MIN('CP-ACS'!M85)</f>
        <v>227.47</v>
      </c>
      <c r="M92" s="2">
        <f>MIN('CP-DCM-ACO'!M85)</f>
        <v>25.47</v>
      </c>
      <c r="N92" s="2">
        <f>MIN('MT-CP-DCM-ACO'!M85)</f>
        <v>8.4600000000000009</v>
      </c>
    </row>
    <row r="93" spans="2:14" x14ac:dyDescent="0.3">
      <c r="B93" t="s">
        <v>90</v>
      </c>
      <c r="C93" s="2">
        <f>MAX('CP-ACS'!J86)</f>
        <v>78</v>
      </c>
      <c r="D93" s="2">
        <f>MAX('CP-DCM-ACO'!J86)</f>
        <v>98</v>
      </c>
      <c r="E93" s="2">
        <f>MAX('MT-CP-DCM-ACO'!J86)</f>
        <v>100</v>
      </c>
      <c r="F93" s="2">
        <f>MIN('CP-ACS'!K86)</f>
        <v>12.406715999999999</v>
      </c>
      <c r="G93" s="2">
        <f>MIN('CP-DCM-ACO'!K86)</f>
        <v>9.2409470000000002</v>
      </c>
      <c r="H93" s="2">
        <f>MIN('MT-CP-DCM-ACO'!K86)</f>
        <v>1.0727819999999999</v>
      </c>
      <c r="I93" s="2">
        <f>MIN('CP-ACS'!L86)</f>
        <v>22.716678000000002</v>
      </c>
      <c r="J93" s="2">
        <f>MIN('CP-DCM-ACO'!L86)</f>
        <v>15.566227</v>
      </c>
      <c r="K93" s="2">
        <f>MIN('MT-CP-DCM-ACO'!L86)</f>
        <v>1.0794550000000001</v>
      </c>
      <c r="L93" s="2">
        <f>MIN('CP-ACS'!M86)</f>
        <v>577.85</v>
      </c>
      <c r="M93" s="2">
        <f>MIN('CP-DCM-ACO'!M86)</f>
        <v>198.89</v>
      </c>
      <c r="N93" s="2">
        <f>MIN('MT-CP-DCM-ACO'!M86)</f>
        <v>38.17</v>
      </c>
    </row>
    <row r="94" spans="2:14" x14ac:dyDescent="0.3">
      <c r="B94" t="s">
        <v>91</v>
      </c>
      <c r="C94" s="2">
        <f>MAX('CP-ACS'!J87)</f>
        <v>41</v>
      </c>
      <c r="D94" s="2">
        <f>MAX('CP-DCM-ACO'!J87)</f>
        <v>84</v>
      </c>
      <c r="E94" s="2">
        <f>MAX('MT-CP-DCM-ACO'!J87)</f>
        <v>100</v>
      </c>
      <c r="F94" s="2">
        <f>MIN('CP-ACS'!K87)</f>
        <v>17.740870000000001</v>
      </c>
      <c r="G94" s="2">
        <f>MIN('CP-DCM-ACO'!K87)</f>
        <v>20.023738999999999</v>
      </c>
      <c r="H94" s="2">
        <f>MIN('MT-CP-DCM-ACO'!K87)</f>
        <v>5.548457</v>
      </c>
      <c r="I94" s="2">
        <f>MIN('CP-ACS'!L87)</f>
        <v>30.912541000000001</v>
      </c>
      <c r="J94" s="2">
        <f>MIN('CP-DCM-ACO'!L87)</f>
        <v>29.104368000000001</v>
      </c>
      <c r="K94" s="2">
        <f>MIN('MT-CP-DCM-ACO'!L87)</f>
        <v>14.475932999999999</v>
      </c>
      <c r="L94" s="2">
        <f>MIN('CP-ACS'!M87)</f>
        <v>921.05</v>
      </c>
      <c r="M94" s="2">
        <f>MIN('CP-DCM-ACO'!M87)</f>
        <v>475.17</v>
      </c>
      <c r="N94" s="2">
        <f>MIN('MT-CP-DCM-ACO'!M87)</f>
        <v>212.94</v>
      </c>
    </row>
    <row r="95" spans="2:14" x14ac:dyDescent="0.3">
      <c r="B95" t="s">
        <v>92</v>
      </c>
      <c r="C95" s="2">
        <f>MAX('CP-ACS'!J88)</f>
        <v>58</v>
      </c>
      <c r="D95" s="2">
        <f>MAX('CP-DCM-ACO'!J88)</f>
        <v>95</v>
      </c>
      <c r="E95" s="2">
        <f>MAX('MT-CP-DCM-ACO'!J88)</f>
        <v>100</v>
      </c>
      <c r="F95" s="2">
        <f>MIN('CP-ACS'!K88)</f>
        <v>14.043323000000001</v>
      </c>
      <c r="G95" s="2">
        <f>MIN('CP-DCM-ACO'!K88)</f>
        <v>12.004467</v>
      </c>
      <c r="H95" s="2">
        <f>MIN('MT-CP-DCM-ACO'!K88)</f>
        <v>1.8771720000000001</v>
      </c>
      <c r="I95" s="2">
        <f>MIN('CP-ACS'!L88)</f>
        <v>23.362200999999999</v>
      </c>
      <c r="J95" s="2">
        <f>MIN('CP-DCM-ACO'!L88)</f>
        <v>15.366184000000001</v>
      </c>
      <c r="K95" s="2">
        <f>MIN('MT-CP-DCM-ACO'!L88)</f>
        <v>1.8641350000000001</v>
      </c>
      <c r="L95" s="2">
        <f>MIN('CP-ACS'!M88)</f>
        <v>689.45</v>
      </c>
      <c r="M95" s="2">
        <f>MIN('CP-DCM-ACO'!M88)</f>
        <v>248.38</v>
      </c>
      <c r="N95" s="2">
        <f>MIN('MT-CP-DCM-ACO'!M88)</f>
        <v>71.05</v>
      </c>
    </row>
    <row r="96" spans="2:14" x14ac:dyDescent="0.3">
      <c r="B96" t="s">
        <v>93</v>
      </c>
      <c r="C96" s="2">
        <f>MAX('CP-ACS'!J89)</f>
        <v>74</v>
      </c>
      <c r="D96" s="2">
        <f>MAX('CP-DCM-ACO'!J89)</f>
        <v>100</v>
      </c>
      <c r="E96" s="2">
        <f>MAX('MT-CP-DCM-ACO'!J89)</f>
        <v>100</v>
      </c>
      <c r="F96" s="2">
        <f>MIN('CP-ACS'!K89)</f>
        <v>14.312984999999999</v>
      </c>
      <c r="G96" s="2">
        <f>MIN('CP-DCM-ACO'!K89)</f>
        <v>2.1248580000000001</v>
      </c>
      <c r="H96" s="2">
        <f>MIN('MT-CP-DCM-ACO'!K89)</f>
        <v>0.134939</v>
      </c>
      <c r="I96" s="2">
        <f>MIN('CP-ACS'!L89)</f>
        <v>24.102336000000001</v>
      </c>
      <c r="J96" s="2">
        <f>MIN('CP-DCM-ACO'!L89)</f>
        <v>3.9893399999999999</v>
      </c>
      <c r="K96" s="2">
        <f>MIN('MT-CP-DCM-ACO'!L89)</f>
        <v>0.107085</v>
      </c>
      <c r="L96" s="2">
        <f>MIN('CP-ACS'!M89)</f>
        <v>976.65</v>
      </c>
      <c r="M96" s="2">
        <f>MIN('CP-DCM-ACO'!M89)</f>
        <v>45.26</v>
      </c>
      <c r="N96" s="2">
        <f>MIN('MT-CP-DCM-ACO'!M89)</f>
        <v>7</v>
      </c>
    </row>
    <row r="97" spans="2:14" x14ac:dyDescent="0.3">
      <c r="B97" t="s">
        <v>94</v>
      </c>
      <c r="C97" s="2">
        <f>MAX('CP-ACS'!J90)</f>
        <v>59</v>
      </c>
      <c r="D97" s="2">
        <f>MAX('CP-DCM-ACO'!J90)</f>
        <v>91</v>
      </c>
      <c r="E97" s="2">
        <f>MAX('MT-CP-DCM-ACO'!J90)</f>
        <v>100</v>
      </c>
      <c r="F97" s="2">
        <f>MIN('CP-ACS'!K90)</f>
        <v>7.5964039999999997</v>
      </c>
      <c r="G97" s="2">
        <f>MIN('CP-DCM-ACO'!K90)</f>
        <v>13.868729</v>
      </c>
      <c r="H97" s="2">
        <f>MIN('MT-CP-DCM-ACO'!K90)</f>
        <v>1.4801489999999999</v>
      </c>
      <c r="I97" s="2">
        <f>MIN('CP-ACS'!L90)</f>
        <v>18.079874</v>
      </c>
      <c r="J97" s="2">
        <f>MIN('CP-DCM-ACO'!L90)</f>
        <v>21.298055999999999</v>
      </c>
      <c r="K97" s="2">
        <f>MIN('MT-CP-DCM-ACO'!L90)</f>
        <v>1.9733339999999999</v>
      </c>
      <c r="L97" s="2">
        <f>MIN('CP-ACS'!M90)</f>
        <v>454.29</v>
      </c>
      <c r="M97" s="2">
        <f>MIN('CP-DCM-ACO'!M90)</f>
        <v>339.34</v>
      </c>
      <c r="N97" s="2">
        <f>MIN('MT-CP-DCM-ACO'!M90)</f>
        <v>66.010000000000005</v>
      </c>
    </row>
    <row r="98" spans="2:14" x14ac:dyDescent="0.3">
      <c r="B98" t="s">
        <v>95</v>
      </c>
      <c r="C98" s="2">
        <f>MAX('CP-ACS'!J91)</f>
        <v>88</v>
      </c>
      <c r="D98" s="2">
        <f>MAX('CP-DCM-ACO'!J91)</f>
        <v>100</v>
      </c>
      <c r="E98" s="2">
        <f>MAX('MT-CP-DCM-ACO'!J91)</f>
        <v>100</v>
      </c>
      <c r="F98" s="2">
        <f>MIN('CP-ACS'!K91)</f>
        <v>7.0089480000000002</v>
      </c>
      <c r="G98" s="2">
        <f>MIN('CP-DCM-ACO'!K91)</f>
        <v>1.5216000000000001</v>
      </c>
      <c r="H98" s="2">
        <f>MIN('MT-CP-DCM-ACO'!K91)</f>
        <v>0.33229700000000001</v>
      </c>
      <c r="I98" s="2">
        <f>MIN('CP-ACS'!L91)</f>
        <v>17.853907</v>
      </c>
      <c r="J98" s="2">
        <f>MIN('CP-DCM-ACO'!L91)</f>
        <v>2.7841119999999999</v>
      </c>
      <c r="K98" s="2">
        <f>MIN('MT-CP-DCM-ACO'!L91)</f>
        <v>0.18967100000000001</v>
      </c>
      <c r="L98" s="2">
        <f>MIN('CP-ACS'!M91)</f>
        <v>365.39</v>
      </c>
      <c r="M98" s="2">
        <f>MIN('CP-DCM-ACO'!M91)</f>
        <v>47.58</v>
      </c>
      <c r="N98" s="2">
        <f>MIN('MT-CP-DCM-ACO'!M91)</f>
        <v>14.22</v>
      </c>
    </row>
    <row r="99" spans="2:14" x14ac:dyDescent="0.3">
      <c r="B99" t="s">
        <v>96</v>
      </c>
      <c r="C99" s="2">
        <f>MAX('CP-ACS'!J92)</f>
        <v>72</v>
      </c>
      <c r="D99" s="2">
        <f>MAX('CP-DCM-ACO'!J92)</f>
        <v>100</v>
      </c>
      <c r="E99" s="2">
        <f>MAX('MT-CP-DCM-ACO'!J92)</f>
        <v>100</v>
      </c>
      <c r="F99" s="2">
        <f>MIN('CP-ACS'!K92)</f>
        <v>3.5508869999999999</v>
      </c>
      <c r="G99" s="2">
        <f>MIN('CP-DCM-ACO'!K92)</f>
        <v>1.6862980000000001</v>
      </c>
      <c r="H99" s="2">
        <f>MIN('MT-CP-DCM-ACO'!K92)</f>
        <v>0.19928000000000001</v>
      </c>
      <c r="I99" s="2">
        <f>MIN('CP-ACS'!L92)</f>
        <v>15.075018999999999</v>
      </c>
      <c r="J99" s="2">
        <f>MIN('CP-DCM-ACO'!L92)</f>
        <v>3.2867350000000002</v>
      </c>
      <c r="K99" s="2">
        <f>MIN('MT-CP-DCM-ACO'!L92)</f>
        <v>0.104438</v>
      </c>
      <c r="L99" s="2">
        <f>MIN('CP-ACS'!M92)</f>
        <v>228.46</v>
      </c>
      <c r="M99" s="2">
        <f>MIN('CP-DCM-ACO'!M92)</f>
        <v>56.43</v>
      </c>
      <c r="N99" s="2">
        <f>MIN('MT-CP-DCM-ACO'!M92)</f>
        <v>9.2100000000000009</v>
      </c>
    </row>
    <row r="100" spans="2:14" x14ac:dyDescent="0.3">
      <c r="B100" t="s">
        <v>97</v>
      </c>
      <c r="C100" s="2">
        <f>MAX('CP-ACS'!J93)</f>
        <v>86</v>
      </c>
      <c r="D100" s="2">
        <f>MAX('CP-DCM-ACO'!J93)</f>
        <v>100</v>
      </c>
      <c r="E100" s="2">
        <f>MAX('MT-CP-DCM-ACO'!J93)</f>
        <v>100</v>
      </c>
      <c r="F100" s="2">
        <f>MIN('CP-ACS'!K93)</f>
        <v>3.23421</v>
      </c>
      <c r="G100" s="2">
        <f>MIN('CP-DCM-ACO'!K93)</f>
        <v>2.968188</v>
      </c>
      <c r="H100" s="2">
        <f>MIN('MT-CP-DCM-ACO'!K93)</f>
        <v>0.45386199999999999</v>
      </c>
      <c r="I100" s="2">
        <f>MIN('CP-ACS'!L93)</f>
        <v>7.541639</v>
      </c>
      <c r="J100" s="2">
        <f>MIN('CP-DCM-ACO'!L93)</f>
        <v>6.5055800000000001</v>
      </c>
      <c r="K100" s="2">
        <f>MIN('MT-CP-DCM-ACO'!L93)</f>
        <v>0.46072299999999999</v>
      </c>
      <c r="L100" s="2">
        <f>MIN('CP-ACS'!M93)</f>
        <v>196.74</v>
      </c>
      <c r="M100" s="2">
        <f>MIN('CP-DCM-ACO'!M93)</f>
        <v>70.81</v>
      </c>
      <c r="N100" s="2">
        <f>MIN('MT-CP-DCM-ACO'!M93)</f>
        <v>20.350000000000001</v>
      </c>
    </row>
    <row r="101" spans="2:14" x14ac:dyDescent="0.3">
      <c r="B101" t="s">
        <v>98</v>
      </c>
      <c r="C101" s="2">
        <f>MAX('CP-ACS'!J94)</f>
        <v>69</v>
      </c>
      <c r="D101" s="2">
        <f>MAX('CP-DCM-ACO'!J94)</f>
        <v>99</v>
      </c>
      <c r="E101" s="2">
        <f>MAX('MT-CP-DCM-ACO'!J94)</f>
        <v>100</v>
      </c>
      <c r="F101" s="2">
        <f>MIN('CP-ACS'!K94)</f>
        <v>4.3950699999999996</v>
      </c>
      <c r="G101" s="2">
        <f>MIN('CP-DCM-ACO'!K94)</f>
        <v>3.365237</v>
      </c>
      <c r="H101" s="2">
        <f>MIN('MT-CP-DCM-ACO'!K94)</f>
        <v>0.43301000000000001</v>
      </c>
      <c r="I101" s="2">
        <f>MIN('CP-ACS'!L94)</f>
        <v>12.187194999999999</v>
      </c>
      <c r="J101" s="2">
        <f>MIN('CP-DCM-ACO'!L94)</f>
        <v>4.2043270000000001</v>
      </c>
      <c r="K101" s="2">
        <f>MIN('MT-CP-DCM-ACO'!L94)</f>
        <v>0.30741299999999999</v>
      </c>
      <c r="L101" s="2">
        <f>MIN('CP-ACS'!M94)</f>
        <v>249.58</v>
      </c>
      <c r="M101" s="2">
        <f>MIN('CP-DCM-ACO'!M94)</f>
        <v>65.760000000000005</v>
      </c>
      <c r="N101" s="2">
        <f>MIN('MT-CP-DCM-ACO'!M94)</f>
        <v>17.43</v>
      </c>
    </row>
    <row r="102" spans="2:14" x14ac:dyDescent="0.3">
      <c r="B102" t="s">
        <v>99</v>
      </c>
      <c r="C102" s="2">
        <f>MAX('CP-ACS'!J95)</f>
        <v>77</v>
      </c>
      <c r="D102" s="2">
        <f>MAX('CP-DCM-ACO'!J95)</f>
        <v>100</v>
      </c>
      <c r="E102" s="2">
        <f>MAX('MT-CP-DCM-ACO'!J95)</f>
        <v>100</v>
      </c>
      <c r="F102" s="2">
        <f>MIN('CP-ACS'!K95)</f>
        <v>4.3819790000000003</v>
      </c>
      <c r="G102" s="2">
        <f>MIN('CP-DCM-ACO'!K95)</f>
        <v>3.1383070000000002</v>
      </c>
      <c r="H102" s="2">
        <f>MIN('MT-CP-DCM-ACO'!K95)</f>
        <v>0.51702599999999999</v>
      </c>
      <c r="I102" s="2">
        <f>MIN('CP-ACS'!L95)</f>
        <v>10.758867</v>
      </c>
      <c r="J102" s="2">
        <f>MIN('CP-DCM-ACO'!L95)</f>
        <v>5.0799649999999996</v>
      </c>
      <c r="K102" s="2">
        <f>MIN('MT-CP-DCM-ACO'!L95)</f>
        <v>0.68992699999999996</v>
      </c>
      <c r="L102" s="2">
        <f>MIN('CP-ACS'!M95)</f>
        <v>298.73</v>
      </c>
      <c r="M102" s="2">
        <f>MIN('CP-DCM-ACO'!M95)</f>
        <v>76.8</v>
      </c>
      <c r="N102" s="2">
        <f>MIN('MT-CP-DCM-ACO'!M95)</f>
        <v>25.44</v>
      </c>
    </row>
    <row r="103" spans="2:14" x14ac:dyDescent="0.3">
      <c r="B103" t="s">
        <v>100</v>
      </c>
      <c r="C103" s="2">
        <f>MAX('CP-ACS'!J96)</f>
        <v>77</v>
      </c>
      <c r="D103" s="2">
        <f>MAX('CP-DCM-ACO'!J96)</f>
        <v>100</v>
      </c>
      <c r="E103" s="2">
        <f>MAX('MT-CP-DCM-ACO'!J96)</f>
        <v>100</v>
      </c>
      <c r="F103" s="2">
        <f>MIN('CP-ACS'!K96)</f>
        <v>18.860821999999999</v>
      </c>
      <c r="G103" s="2">
        <f>MIN('CP-DCM-ACO'!K96)</f>
        <v>11.451577</v>
      </c>
      <c r="H103" s="2">
        <f>MIN('MT-CP-DCM-ACO'!K96)</f>
        <v>0.843275</v>
      </c>
      <c r="I103" s="2">
        <f>MIN('CP-ACS'!L96)</f>
        <v>24.584129000000001</v>
      </c>
      <c r="J103" s="2">
        <f>MIN('CP-DCM-ACO'!L96)</f>
        <v>19.572918000000001</v>
      </c>
      <c r="K103" s="2">
        <f>MIN('MT-CP-DCM-ACO'!L96)</f>
        <v>2.1072449999999998</v>
      </c>
      <c r="L103" s="2">
        <f>MIN('CP-ACS'!M96)</f>
        <v>1015.56</v>
      </c>
      <c r="M103" s="2">
        <f>MIN('CP-DCM-ACO'!M96)</f>
        <v>303.58</v>
      </c>
      <c r="N103" s="2">
        <f>MIN('MT-CP-DCM-ACO'!M96)</f>
        <v>38.200000000000003</v>
      </c>
    </row>
    <row r="104" spans="2:14" x14ac:dyDescent="0.3">
      <c r="B104" t="s">
        <v>101</v>
      </c>
      <c r="C104" s="2">
        <f>MAX('CP-ACS'!J97)</f>
        <v>41</v>
      </c>
      <c r="D104" s="2">
        <f>MAX('CP-DCM-ACO'!J97)</f>
        <v>99</v>
      </c>
      <c r="E104" s="2">
        <f>MAX('MT-CP-DCM-ACO'!J97)</f>
        <v>100</v>
      </c>
      <c r="F104" s="2">
        <f>MIN('CP-ACS'!K97)</f>
        <v>6.579447</v>
      </c>
      <c r="G104" s="2">
        <f>MIN('CP-DCM-ACO'!K97)</f>
        <v>9.9678740000000001</v>
      </c>
      <c r="H104" s="2">
        <f>MIN('MT-CP-DCM-ACO'!K97)</f>
        <v>0.59959799999999996</v>
      </c>
      <c r="I104" s="2">
        <f>MIN('CP-ACS'!L97)</f>
        <v>17.291771000000001</v>
      </c>
      <c r="J104" s="2">
        <f>MIN('CP-DCM-ACO'!L97)</f>
        <v>16.524001999999999</v>
      </c>
      <c r="K104" s="2">
        <f>MIN('MT-CP-DCM-ACO'!L97)</f>
        <v>1.7333190000000001</v>
      </c>
      <c r="L104" s="2">
        <f>MIN('CP-ACS'!M97)</f>
        <v>350.41</v>
      </c>
      <c r="M104" s="2">
        <f>MIN('CP-DCM-ACO'!M97)</f>
        <v>278.08999999999997</v>
      </c>
      <c r="N104" s="2">
        <f>MIN('MT-CP-DCM-ACO'!M97)</f>
        <v>23.94</v>
      </c>
    </row>
    <row r="105" spans="2:14" x14ac:dyDescent="0.3">
      <c r="B105" t="s">
        <v>102</v>
      </c>
      <c r="C105" s="2">
        <f>MAX('CP-ACS'!J98)</f>
        <v>90</v>
      </c>
      <c r="D105" s="2">
        <f>MAX('CP-DCM-ACO'!J98)</f>
        <v>100</v>
      </c>
      <c r="E105" s="2">
        <f>MAX('MT-CP-DCM-ACO'!J98)</f>
        <v>100</v>
      </c>
      <c r="F105" s="2">
        <f>MIN('CP-ACS'!K98)</f>
        <v>0.73891399999999996</v>
      </c>
      <c r="G105" s="2">
        <f>MIN('CP-DCM-ACO'!K98)</f>
        <v>0.35149900000000001</v>
      </c>
      <c r="H105" s="2">
        <f>MIN('MT-CP-DCM-ACO'!K98)</f>
        <v>0.12875</v>
      </c>
      <c r="I105" s="2">
        <f>MIN('CP-ACS'!L98)</f>
        <v>4.4223249999999998</v>
      </c>
      <c r="J105" s="2">
        <f>MIN('CP-DCM-ACO'!L98)</f>
        <v>0.51771800000000001</v>
      </c>
      <c r="K105" s="2">
        <f>MIN('MT-CP-DCM-ACO'!L98)</f>
        <v>4.9550999999999998E-2</v>
      </c>
      <c r="L105" s="2">
        <f>MIN('CP-ACS'!M98)</f>
        <v>54.31</v>
      </c>
      <c r="M105" s="2">
        <f>MIN('CP-DCM-ACO'!M98)</f>
        <v>15.15</v>
      </c>
      <c r="N105" s="2">
        <f>MIN('MT-CP-DCM-ACO'!M98)</f>
        <v>6.82</v>
      </c>
    </row>
    <row r="106" spans="2:14" x14ac:dyDescent="0.3">
      <c r="B106" t="s">
        <v>103</v>
      </c>
      <c r="C106" s="2">
        <f>MAX('CP-ACS'!J99)</f>
        <v>55</v>
      </c>
      <c r="D106" s="2">
        <f>MAX('CP-DCM-ACO'!J99)</f>
        <v>96</v>
      </c>
      <c r="E106" s="2">
        <f>MAX('MT-CP-DCM-ACO'!J99)</f>
        <v>100</v>
      </c>
      <c r="F106" s="2">
        <f>MIN('CP-ACS'!K99)</f>
        <v>9.8197930000000007</v>
      </c>
      <c r="G106" s="2">
        <f>MIN('CP-DCM-ACO'!K99)</f>
        <v>5.1553690000000003</v>
      </c>
      <c r="H106" s="2">
        <f>MIN('MT-CP-DCM-ACO'!K99)</f>
        <v>0.93204900000000002</v>
      </c>
      <c r="I106" s="2">
        <f>MIN('CP-ACS'!L99)</f>
        <v>20.807158000000001</v>
      </c>
      <c r="J106" s="2">
        <f>MIN('CP-DCM-ACO'!L99)</f>
        <v>11.796766</v>
      </c>
      <c r="K106" s="2">
        <f>MIN('MT-CP-DCM-ACO'!L99)</f>
        <v>1.748605</v>
      </c>
      <c r="L106" s="2">
        <f>MIN('CP-ACS'!M99)</f>
        <v>556.62</v>
      </c>
      <c r="M106" s="2">
        <f>MIN('CP-DCM-ACO'!M99)</f>
        <v>169.07</v>
      </c>
      <c r="N106" s="2">
        <f>MIN('MT-CP-DCM-ACO'!M99)</f>
        <v>40.99</v>
      </c>
    </row>
    <row r="107" spans="2:14" x14ac:dyDescent="0.3">
      <c r="B107" t="s">
        <v>104</v>
      </c>
      <c r="C107" s="2">
        <f>MAX('CP-ACS'!J100)</f>
        <v>58</v>
      </c>
      <c r="D107" s="2">
        <f>MAX('CP-DCM-ACO'!J100)</f>
        <v>96</v>
      </c>
      <c r="E107" s="2">
        <f>MAX('MT-CP-DCM-ACO'!J100)</f>
        <v>100</v>
      </c>
      <c r="F107" s="2">
        <f>MIN('CP-ACS'!K100)</f>
        <v>10.047482</v>
      </c>
      <c r="G107" s="2">
        <f>MIN('CP-DCM-ACO'!K100)</f>
        <v>8.1621699999999997</v>
      </c>
      <c r="H107" s="2">
        <f>MIN('MT-CP-DCM-ACO'!K100)</f>
        <v>1.00248</v>
      </c>
      <c r="I107" s="2">
        <f>MIN('CP-ACS'!L100)</f>
        <v>19.745674000000001</v>
      </c>
      <c r="J107" s="2">
        <f>MIN('CP-DCM-ACO'!L100)</f>
        <v>16.409638000000001</v>
      </c>
      <c r="K107" s="2">
        <f>MIN('MT-CP-DCM-ACO'!L100)</f>
        <v>1.4707669999999999</v>
      </c>
      <c r="L107" s="2">
        <f>MIN('CP-ACS'!M100)</f>
        <v>499.71</v>
      </c>
      <c r="M107" s="2">
        <f>MIN('CP-DCM-ACO'!M100)</f>
        <v>228.33</v>
      </c>
      <c r="N107" s="2">
        <f>MIN('MT-CP-DCM-ACO'!M100)</f>
        <v>36.450000000000003</v>
      </c>
    </row>
    <row r="108" spans="2:14" x14ac:dyDescent="0.3">
      <c r="B108" t="s">
        <v>105</v>
      </c>
      <c r="C108" s="2">
        <f>MAX('CP-ACS'!J101)</f>
        <v>61</v>
      </c>
      <c r="D108" s="2">
        <f>MAX('CP-DCM-ACO'!J101)</f>
        <v>100</v>
      </c>
      <c r="E108" s="2">
        <f>MAX('MT-CP-DCM-ACO'!J101)</f>
        <v>100</v>
      </c>
      <c r="F108" s="2">
        <f>MIN('CP-ACS'!K101)</f>
        <v>9.556908</v>
      </c>
      <c r="G108" s="2">
        <f>MIN('CP-DCM-ACO'!K101)</f>
        <v>2.0127950000000001</v>
      </c>
      <c r="H108" s="2">
        <f>MIN('MT-CP-DCM-ACO'!K101)</f>
        <v>0.24118100000000001</v>
      </c>
      <c r="I108" s="2">
        <f>MIN('CP-ACS'!L101)</f>
        <v>22.460146999999999</v>
      </c>
      <c r="J108" s="2">
        <f>MIN('CP-DCM-ACO'!L101)</f>
        <v>3.3151890000000002</v>
      </c>
      <c r="K108" s="2">
        <f>MIN('MT-CP-DCM-ACO'!L101)</f>
        <v>0.25014399999999998</v>
      </c>
      <c r="L108" s="2">
        <f>MIN('CP-ACS'!M101)</f>
        <v>675</v>
      </c>
      <c r="M108" s="2">
        <f>MIN('CP-DCM-ACO'!M101)</f>
        <v>78.2</v>
      </c>
      <c r="N108" s="2">
        <f>MIN('MT-CP-DCM-ACO'!M101)</f>
        <v>11.56</v>
      </c>
    </row>
  </sheetData>
  <mergeCells count="7">
    <mergeCell ref="B3:N4"/>
    <mergeCell ref="B5:N5"/>
    <mergeCell ref="B7:B8"/>
    <mergeCell ref="C7:E7"/>
    <mergeCell ref="F7:H7"/>
    <mergeCell ref="I7:K7"/>
    <mergeCell ref="L7:N7"/>
  </mergeCells>
  <conditionalFormatting sqref="C9:E108">
    <cfRule type="expression" dxfId="3" priority="1">
      <formula>C9=MAX($C9:$E9)</formula>
    </cfRule>
  </conditionalFormatting>
  <conditionalFormatting sqref="F9:H108">
    <cfRule type="expression" dxfId="2" priority="2">
      <formula>F9=MIN($F9:$H9)</formula>
    </cfRule>
  </conditionalFormatting>
  <conditionalFormatting sqref="I9:K108">
    <cfRule type="expression" dxfId="1" priority="3">
      <formula>I9=MIN($I9:$K9)</formula>
    </cfRule>
  </conditionalFormatting>
  <conditionalFormatting sqref="L9:N108">
    <cfRule type="expression" dxfId="0" priority="4">
      <formula>L9=MIN($L9:$N9)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CP-ACS</vt:lpstr>
      <vt:lpstr>CP-DCM-ACO</vt:lpstr>
      <vt:lpstr>MT-CP-DCM-ACO</vt:lpstr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Michael Jabuen</cp:lastModifiedBy>
  <dcterms:created xsi:type="dcterms:W3CDTF">2026-02-10T00:43:39Z</dcterms:created>
  <dcterms:modified xsi:type="dcterms:W3CDTF">2026-02-10T01:34:57Z</dcterms:modified>
</cp:coreProperties>
</file>