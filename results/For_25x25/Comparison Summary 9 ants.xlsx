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For_25x25\"/>
    </mc:Choice>
  </mc:AlternateContent>
  <xr:revisionPtr revIDLastSave="0" documentId="13_ncr:1_{AFEBB565-F3B9-4B87-98EB-8DD36003DE70}" xr6:coauthVersionLast="47" xr6:coauthVersionMax="47" xr10:uidLastSave="{00000000-0000-0000-0000-000000000000}"/>
  <bookViews>
    <workbookView xWindow="-108" yWindow="-108" windowWidth="23256" windowHeight="13896" activeTab="5" xr2:uid="{C2F8DB88-46B5-457D-A537-FDBCAD53C047}"/>
  </bookViews>
  <sheets>
    <sheet name="CP-ACS" sheetId="2" r:id="rId1"/>
    <sheet name="CP-DCM-ACO" sheetId="3" r:id="rId2"/>
    <sheet name="MT-CP-DCM-ACO" sheetId="4" r:id="rId3"/>
    <sheet name="50 Comm Int" sheetId="6" r:id="rId4"/>
    <sheet name="Comparison" sheetId="5" r:id="rId5"/>
    <sheet name="Comparison_2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5" i="7" l="1"/>
  <c r="I105" i="7"/>
  <c r="H105" i="7"/>
  <c r="G105" i="7"/>
  <c r="F105" i="7"/>
  <c r="E105" i="7"/>
  <c r="D105" i="7"/>
  <c r="C105" i="7"/>
  <c r="J104" i="7"/>
  <c r="I104" i="7"/>
  <c r="H104" i="7"/>
  <c r="G104" i="7"/>
  <c r="F104" i="7"/>
  <c r="E104" i="7"/>
  <c r="D104" i="7"/>
  <c r="C104" i="7"/>
  <c r="J103" i="7"/>
  <c r="I103" i="7"/>
  <c r="H103" i="7"/>
  <c r="G103" i="7"/>
  <c r="F103" i="7"/>
  <c r="E103" i="7"/>
  <c r="D103" i="7"/>
  <c r="C103" i="7"/>
  <c r="J102" i="7"/>
  <c r="I102" i="7"/>
  <c r="H102" i="7"/>
  <c r="G102" i="7"/>
  <c r="F102" i="7"/>
  <c r="E102" i="7"/>
  <c r="D102" i="7"/>
  <c r="C102" i="7"/>
  <c r="J101" i="7"/>
  <c r="I101" i="7"/>
  <c r="H101" i="7"/>
  <c r="G101" i="7"/>
  <c r="F101" i="7"/>
  <c r="E101" i="7"/>
  <c r="D101" i="7"/>
  <c r="C101" i="7"/>
  <c r="J100" i="7"/>
  <c r="I100" i="7"/>
  <c r="H100" i="7"/>
  <c r="G100" i="7"/>
  <c r="F100" i="7"/>
  <c r="E100" i="7"/>
  <c r="D100" i="7"/>
  <c r="C100" i="7"/>
  <c r="J99" i="7"/>
  <c r="I99" i="7"/>
  <c r="H99" i="7"/>
  <c r="G99" i="7"/>
  <c r="F99" i="7"/>
  <c r="E99" i="7"/>
  <c r="D99" i="7"/>
  <c r="C99" i="7"/>
  <c r="J98" i="7"/>
  <c r="I98" i="7"/>
  <c r="H98" i="7"/>
  <c r="G98" i="7"/>
  <c r="F98" i="7"/>
  <c r="E98" i="7"/>
  <c r="D98" i="7"/>
  <c r="C98" i="7"/>
  <c r="J97" i="7"/>
  <c r="I97" i="7"/>
  <c r="H97" i="7"/>
  <c r="G97" i="7"/>
  <c r="F97" i="7"/>
  <c r="E97" i="7"/>
  <c r="D97" i="7"/>
  <c r="C97" i="7"/>
  <c r="J96" i="7"/>
  <c r="I96" i="7"/>
  <c r="H96" i="7"/>
  <c r="G96" i="7"/>
  <c r="F96" i="7"/>
  <c r="E96" i="7"/>
  <c r="D96" i="7"/>
  <c r="C96" i="7"/>
  <c r="J95" i="7"/>
  <c r="I95" i="7"/>
  <c r="H95" i="7"/>
  <c r="G95" i="7"/>
  <c r="F95" i="7"/>
  <c r="E95" i="7"/>
  <c r="D95" i="7"/>
  <c r="C95" i="7"/>
  <c r="J94" i="7"/>
  <c r="I94" i="7"/>
  <c r="H94" i="7"/>
  <c r="G94" i="7"/>
  <c r="F94" i="7"/>
  <c r="E94" i="7"/>
  <c r="D94" i="7"/>
  <c r="C94" i="7"/>
  <c r="J93" i="7"/>
  <c r="I93" i="7"/>
  <c r="H93" i="7"/>
  <c r="G93" i="7"/>
  <c r="F93" i="7"/>
  <c r="E93" i="7"/>
  <c r="D93" i="7"/>
  <c r="C93" i="7"/>
  <c r="J92" i="7"/>
  <c r="I92" i="7"/>
  <c r="H92" i="7"/>
  <c r="G92" i="7"/>
  <c r="F92" i="7"/>
  <c r="E92" i="7"/>
  <c r="D92" i="7"/>
  <c r="C92" i="7"/>
  <c r="J91" i="7"/>
  <c r="I91" i="7"/>
  <c r="H91" i="7"/>
  <c r="G91" i="7"/>
  <c r="F91" i="7"/>
  <c r="E91" i="7"/>
  <c r="D91" i="7"/>
  <c r="C91" i="7"/>
  <c r="J90" i="7"/>
  <c r="I90" i="7"/>
  <c r="H90" i="7"/>
  <c r="G90" i="7"/>
  <c r="F90" i="7"/>
  <c r="E90" i="7"/>
  <c r="D90" i="7"/>
  <c r="C90" i="7"/>
  <c r="J89" i="7"/>
  <c r="I89" i="7"/>
  <c r="H89" i="7"/>
  <c r="G89" i="7"/>
  <c r="F89" i="7"/>
  <c r="E89" i="7"/>
  <c r="D89" i="7"/>
  <c r="C89" i="7"/>
  <c r="J88" i="7"/>
  <c r="I88" i="7"/>
  <c r="H88" i="7"/>
  <c r="G88" i="7"/>
  <c r="F88" i="7"/>
  <c r="E88" i="7"/>
  <c r="D88" i="7"/>
  <c r="C88" i="7"/>
  <c r="J87" i="7"/>
  <c r="I87" i="7"/>
  <c r="H87" i="7"/>
  <c r="G87" i="7"/>
  <c r="F87" i="7"/>
  <c r="E87" i="7"/>
  <c r="D87" i="7"/>
  <c r="C87" i="7"/>
  <c r="J86" i="7"/>
  <c r="I86" i="7"/>
  <c r="H86" i="7"/>
  <c r="G86" i="7"/>
  <c r="F86" i="7"/>
  <c r="E86" i="7"/>
  <c r="D86" i="7"/>
  <c r="C86" i="7"/>
  <c r="J85" i="7"/>
  <c r="I85" i="7"/>
  <c r="H85" i="7"/>
  <c r="G85" i="7"/>
  <c r="F85" i="7"/>
  <c r="E85" i="7"/>
  <c r="D85" i="7"/>
  <c r="C85" i="7"/>
  <c r="J84" i="7"/>
  <c r="I84" i="7"/>
  <c r="H84" i="7"/>
  <c r="G84" i="7"/>
  <c r="F84" i="7"/>
  <c r="E84" i="7"/>
  <c r="D84" i="7"/>
  <c r="C84" i="7"/>
  <c r="J83" i="7"/>
  <c r="I83" i="7"/>
  <c r="H83" i="7"/>
  <c r="G83" i="7"/>
  <c r="F83" i="7"/>
  <c r="E83" i="7"/>
  <c r="D83" i="7"/>
  <c r="C83" i="7"/>
  <c r="J82" i="7"/>
  <c r="I82" i="7"/>
  <c r="H82" i="7"/>
  <c r="G82" i="7"/>
  <c r="F82" i="7"/>
  <c r="E82" i="7"/>
  <c r="D82" i="7"/>
  <c r="C82" i="7"/>
  <c r="J81" i="7"/>
  <c r="I81" i="7"/>
  <c r="H81" i="7"/>
  <c r="G81" i="7"/>
  <c r="F81" i="7"/>
  <c r="E81" i="7"/>
  <c r="D81" i="7"/>
  <c r="C81" i="7"/>
  <c r="J80" i="7"/>
  <c r="I80" i="7"/>
  <c r="H80" i="7"/>
  <c r="G80" i="7"/>
  <c r="F80" i="7"/>
  <c r="E80" i="7"/>
  <c r="D80" i="7"/>
  <c r="C80" i="7"/>
  <c r="J79" i="7"/>
  <c r="I79" i="7"/>
  <c r="H79" i="7"/>
  <c r="G79" i="7"/>
  <c r="F79" i="7"/>
  <c r="E79" i="7"/>
  <c r="D79" i="7"/>
  <c r="C79" i="7"/>
  <c r="J78" i="7"/>
  <c r="I78" i="7"/>
  <c r="H78" i="7"/>
  <c r="G78" i="7"/>
  <c r="F78" i="7"/>
  <c r="E78" i="7"/>
  <c r="D78" i="7"/>
  <c r="C78" i="7"/>
  <c r="J77" i="7"/>
  <c r="I77" i="7"/>
  <c r="H77" i="7"/>
  <c r="G77" i="7"/>
  <c r="F77" i="7"/>
  <c r="E77" i="7"/>
  <c r="D77" i="7"/>
  <c r="C77" i="7"/>
  <c r="J76" i="7"/>
  <c r="I76" i="7"/>
  <c r="H76" i="7"/>
  <c r="G76" i="7"/>
  <c r="F76" i="7"/>
  <c r="E76" i="7"/>
  <c r="D76" i="7"/>
  <c r="C76" i="7"/>
  <c r="J75" i="7"/>
  <c r="I75" i="7"/>
  <c r="H75" i="7"/>
  <c r="G75" i="7"/>
  <c r="F75" i="7"/>
  <c r="E75" i="7"/>
  <c r="D75" i="7"/>
  <c r="C75" i="7"/>
  <c r="J74" i="7"/>
  <c r="I74" i="7"/>
  <c r="H74" i="7"/>
  <c r="G74" i="7"/>
  <c r="F74" i="7"/>
  <c r="E74" i="7"/>
  <c r="D74" i="7"/>
  <c r="C74" i="7"/>
  <c r="J73" i="7"/>
  <c r="I73" i="7"/>
  <c r="H73" i="7"/>
  <c r="G73" i="7"/>
  <c r="F73" i="7"/>
  <c r="E73" i="7"/>
  <c r="D73" i="7"/>
  <c r="C73" i="7"/>
  <c r="J72" i="7"/>
  <c r="I72" i="7"/>
  <c r="H72" i="7"/>
  <c r="G72" i="7"/>
  <c r="F72" i="7"/>
  <c r="E72" i="7"/>
  <c r="D72" i="7"/>
  <c r="C72" i="7"/>
  <c r="J71" i="7"/>
  <c r="I71" i="7"/>
  <c r="H71" i="7"/>
  <c r="G71" i="7"/>
  <c r="F71" i="7"/>
  <c r="E71" i="7"/>
  <c r="D71" i="7"/>
  <c r="C71" i="7"/>
  <c r="J70" i="7"/>
  <c r="I70" i="7"/>
  <c r="H70" i="7"/>
  <c r="G70" i="7"/>
  <c r="F70" i="7"/>
  <c r="E70" i="7"/>
  <c r="D70" i="7"/>
  <c r="C70" i="7"/>
  <c r="J69" i="7"/>
  <c r="I69" i="7"/>
  <c r="H69" i="7"/>
  <c r="G69" i="7"/>
  <c r="F69" i="7"/>
  <c r="E69" i="7"/>
  <c r="D69" i="7"/>
  <c r="C69" i="7"/>
  <c r="J68" i="7"/>
  <c r="I68" i="7"/>
  <c r="H68" i="7"/>
  <c r="G68" i="7"/>
  <c r="F68" i="7"/>
  <c r="E68" i="7"/>
  <c r="D68" i="7"/>
  <c r="C68" i="7"/>
  <c r="J67" i="7"/>
  <c r="I67" i="7"/>
  <c r="H67" i="7"/>
  <c r="G67" i="7"/>
  <c r="F67" i="7"/>
  <c r="E67" i="7"/>
  <c r="D67" i="7"/>
  <c r="C67" i="7"/>
  <c r="J66" i="7"/>
  <c r="I66" i="7"/>
  <c r="H66" i="7"/>
  <c r="G66" i="7"/>
  <c r="F66" i="7"/>
  <c r="E66" i="7"/>
  <c r="D66" i="7"/>
  <c r="C66" i="7"/>
  <c r="J65" i="7"/>
  <c r="I65" i="7"/>
  <c r="H65" i="7"/>
  <c r="G65" i="7"/>
  <c r="F65" i="7"/>
  <c r="E65" i="7"/>
  <c r="D65" i="7"/>
  <c r="C65" i="7"/>
  <c r="J64" i="7"/>
  <c r="I64" i="7"/>
  <c r="H64" i="7"/>
  <c r="G64" i="7"/>
  <c r="F64" i="7"/>
  <c r="E64" i="7"/>
  <c r="D64" i="7"/>
  <c r="C64" i="7"/>
  <c r="J63" i="7"/>
  <c r="I63" i="7"/>
  <c r="H63" i="7"/>
  <c r="G63" i="7"/>
  <c r="F63" i="7"/>
  <c r="E63" i="7"/>
  <c r="D63" i="7"/>
  <c r="C63" i="7"/>
  <c r="J62" i="7"/>
  <c r="I62" i="7"/>
  <c r="H62" i="7"/>
  <c r="G62" i="7"/>
  <c r="F62" i="7"/>
  <c r="E62" i="7"/>
  <c r="D62" i="7"/>
  <c r="C62" i="7"/>
  <c r="J61" i="7"/>
  <c r="I61" i="7"/>
  <c r="H61" i="7"/>
  <c r="G61" i="7"/>
  <c r="F61" i="7"/>
  <c r="E61" i="7"/>
  <c r="D61" i="7"/>
  <c r="C61" i="7"/>
  <c r="J60" i="7"/>
  <c r="I60" i="7"/>
  <c r="H60" i="7"/>
  <c r="G60" i="7"/>
  <c r="F60" i="7"/>
  <c r="E60" i="7"/>
  <c r="D60" i="7"/>
  <c r="C60" i="7"/>
  <c r="J59" i="7"/>
  <c r="I59" i="7"/>
  <c r="H59" i="7"/>
  <c r="G59" i="7"/>
  <c r="F59" i="7"/>
  <c r="E59" i="7"/>
  <c r="D59" i="7"/>
  <c r="C59" i="7"/>
  <c r="J58" i="7"/>
  <c r="I58" i="7"/>
  <c r="H58" i="7"/>
  <c r="G58" i="7"/>
  <c r="F58" i="7"/>
  <c r="E58" i="7"/>
  <c r="D58" i="7"/>
  <c r="C58" i="7"/>
  <c r="J57" i="7"/>
  <c r="I57" i="7"/>
  <c r="H57" i="7"/>
  <c r="G57" i="7"/>
  <c r="F57" i="7"/>
  <c r="E57" i="7"/>
  <c r="D57" i="7"/>
  <c r="C57" i="7"/>
  <c r="J56" i="7"/>
  <c r="I56" i="7"/>
  <c r="H56" i="7"/>
  <c r="G56" i="7"/>
  <c r="F56" i="7"/>
  <c r="E56" i="7"/>
  <c r="D56" i="7"/>
  <c r="C56" i="7"/>
  <c r="J55" i="7"/>
  <c r="I55" i="7"/>
  <c r="H55" i="7"/>
  <c r="G55" i="7"/>
  <c r="F55" i="7"/>
  <c r="E55" i="7"/>
  <c r="D55" i="7"/>
  <c r="C55" i="7"/>
  <c r="J54" i="7"/>
  <c r="I54" i="7"/>
  <c r="H54" i="7"/>
  <c r="G54" i="7"/>
  <c r="F54" i="7"/>
  <c r="E54" i="7"/>
  <c r="D54" i="7"/>
  <c r="C54" i="7"/>
  <c r="J53" i="7"/>
  <c r="I53" i="7"/>
  <c r="H53" i="7"/>
  <c r="G53" i="7"/>
  <c r="F53" i="7"/>
  <c r="E53" i="7"/>
  <c r="D53" i="7"/>
  <c r="C53" i="7"/>
  <c r="J52" i="7"/>
  <c r="I52" i="7"/>
  <c r="H52" i="7"/>
  <c r="G52" i="7"/>
  <c r="F52" i="7"/>
  <c r="E52" i="7"/>
  <c r="D52" i="7"/>
  <c r="C52" i="7"/>
  <c r="J51" i="7"/>
  <c r="I51" i="7"/>
  <c r="H51" i="7"/>
  <c r="G51" i="7"/>
  <c r="F51" i="7"/>
  <c r="E51" i="7"/>
  <c r="D51" i="7"/>
  <c r="C51" i="7"/>
  <c r="J50" i="7"/>
  <c r="I50" i="7"/>
  <c r="H50" i="7"/>
  <c r="G50" i="7"/>
  <c r="F50" i="7"/>
  <c r="E50" i="7"/>
  <c r="D50" i="7"/>
  <c r="C50" i="7"/>
  <c r="J49" i="7"/>
  <c r="I49" i="7"/>
  <c r="H49" i="7"/>
  <c r="G49" i="7"/>
  <c r="F49" i="7"/>
  <c r="E49" i="7"/>
  <c r="D49" i="7"/>
  <c r="C49" i="7"/>
  <c r="J48" i="7"/>
  <c r="I48" i="7"/>
  <c r="H48" i="7"/>
  <c r="G48" i="7"/>
  <c r="F48" i="7"/>
  <c r="E48" i="7"/>
  <c r="D48" i="7"/>
  <c r="C48" i="7"/>
  <c r="J47" i="7"/>
  <c r="I47" i="7"/>
  <c r="H47" i="7"/>
  <c r="G47" i="7"/>
  <c r="F47" i="7"/>
  <c r="E47" i="7"/>
  <c r="D47" i="7"/>
  <c r="C47" i="7"/>
  <c r="J46" i="7"/>
  <c r="I46" i="7"/>
  <c r="H46" i="7"/>
  <c r="G46" i="7"/>
  <c r="F46" i="7"/>
  <c r="E46" i="7"/>
  <c r="D46" i="7"/>
  <c r="C46" i="7"/>
  <c r="J45" i="7"/>
  <c r="I45" i="7"/>
  <c r="H45" i="7"/>
  <c r="G45" i="7"/>
  <c r="F45" i="7"/>
  <c r="E45" i="7"/>
  <c r="D45" i="7"/>
  <c r="C45" i="7"/>
  <c r="J44" i="7"/>
  <c r="I44" i="7"/>
  <c r="H44" i="7"/>
  <c r="G44" i="7"/>
  <c r="F44" i="7"/>
  <c r="E44" i="7"/>
  <c r="D44" i="7"/>
  <c r="C44" i="7"/>
  <c r="J43" i="7"/>
  <c r="I43" i="7"/>
  <c r="H43" i="7"/>
  <c r="G43" i="7"/>
  <c r="F43" i="7"/>
  <c r="E43" i="7"/>
  <c r="D43" i="7"/>
  <c r="C43" i="7"/>
  <c r="J42" i="7"/>
  <c r="I42" i="7"/>
  <c r="H42" i="7"/>
  <c r="G42" i="7"/>
  <c r="F42" i="7"/>
  <c r="E42" i="7"/>
  <c r="D42" i="7"/>
  <c r="C42" i="7"/>
  <c r="J41" i="7"/>
  <c r="I41" i="7"/>
  <c r="H41" i="7"/>
  <c r="G41" i="7"/>
  <c r="F41" i="7"/>
  <c r="E41" i="7"/>
  <c r="D41" i="7"/>
  <c r="C41" i="7"/>
  <c r="J40" i="7"/>
  <c r="I40" i="7"/>
  <c r="H40" i="7"/>
  <c r="G40" i="7"/>
  <c r="F40" i="7"/>
  <c r="E40" i="7"/>
  <c r="D40" i="7"/>
  <c r="C40" i="7"/>
  <c r="J39" i="7"/>
  <c r="I39" i="7"/>
  <c r="H39" i="7"/>
  <c r="G39" i="7"/>
  <c r="F39" i="7"/>
  <c r="E39" i="7"/>
  <c r="D39" i="7"/>
  <c r="C39" i="7"/>
  <c r="J38" i="7"/>
  <c r="I38" i="7"/>
  <c r="H38" i="7"/>
  <c r="G38" i="7"/>
  <c r="F38" i="7"/>
  <c r="E38" i="7"/>
  <c r="D38" i="7"/>
  <c r="C38" i="7"/>
  <c r="J37" i="7"/>
  <c r="I37" i="7"/>
  <c r="H37" i="7"/>
  <c r="G37" i="7"/>
  <c r="F37" i="7"/>
  <c r="E37" i="7"/>
  <c r="D37" i="7"/>
  <c r="C37" i="7"/>
  <c r="J36" i="7"/>
  <c r="I36" i="7"/>
  <c r="H36" i="7"/>
  <c r="G36" i="7"/>
  <c r="F36" i="7"/>
  <c r="E36" i="7"/>
  <c r="D36" i="7"/>
  <c r="C36" i="7"/>
  <c r="J35" i="7"/>
  <c r="I35" i="7"/>
  <c r="H35" i="7"/>
  <c r="G35" i="7"/>
  <c r="F35" i="7"/>
  <c r="E35" i="7"/>
  <c r="D35" i="7"/>
  <c r="C35" i="7"/>
  <c r="J34" i="7"/>
  <c r="I34" i="7"/>
  <c r="H34" i="7"/>
  <c r="G34" i="7"/>
  <c r="F34" i="7"/>
  <c r="E34" i="7"/>
  <c r="D34" i="7"/>
  <c r="C34" i="7"/>
  <c r="J33" i="7"/>
  <c r="I33" i="7"/>
  <c r="H33" i="7"/>
  <c r="G33" i="7"/>
  <c r="F33" i="7"/>
  <c r="E33" i="7"/>
  <c r="D33" i="7"/>
  <c r="C33" i="7"/>
  <c r="J32" i="7"/>
  <c r="I32" i="7"/>
  <c r="H32" i="7"/>
  <c r="G32" i="7"/>
  <c r="F32" i="7"/>
  <c r="E32" i="7"/>
  <c r="D32" i="7"/>
  <c r="C32" i="7"/>
  <c r="J31" i="7"/>
  <c r="I31" i="7"/>
  <c r="H31" i="7"/>
  <c r="G31" i="7"/>
  <c r="F31" i="7"/>
  <c r="E31" i="7"/>
  <c r="D31" i="7"/>
  <c r="C31" i="7"/>
  <c r="J30" i="7"/>
  <c r="I30" i="7"/>
  <c r="H30" i="7"/>
  <c r="G30" i="7"/>
  <c r="F30" i="7"/>
  <c r="E30" i="7"/>
  <c r="D30" i="7"/>
  <c r="C30" i="7"/>
  <c r="J29" i="7"/>
  <c r="I29" i="7"/>
  <c r="H29" i="7"/>
  <c r="G29" i="7"/>
  <c r="F29" i="7"/>
  <c r="E29" i="7"/>
  <c r="D29" i="7"/>
  <c r="C29" i="7"/>
  <c r="J28" i="7"/>
  <c r="I28" i="7"/>
  <c r="H28" i="7"/>
  <c r="G28" i="7"/>
  <c r="F28" i="7"/>
  <c r="E28" i="7"/>
  <c r="D28" i="7"/>
  <c r="C28" i="7"/>
  <c r="J27" i="7"/>
  <c r="I27" i="7"/>
  <c r="H27" i="7"/>
  <c r="G27" i="7"/>
  <c r="F27" i="7"/>
  <c r="E27" i="7"/>
  <c r="D27" i="7"/>
  <c r="C27" i="7"/>
  <c r="J26" i="7"/>
  <c r="I26" i="7"/>
  <c r="H26" i="7"/>
  <c r="G26" i="7"/>
  <c r="F26" i="7"/>
  <c r="E26" i="7"/>
  <c r="D26" i="7"/>
  <c r="C26" i="7"/>
  <c r="J25" i="7"/>
  <c r="I25" i="7"/>
  <c r="H25" i="7"/>
  <c r="G25" i="7"/>
  <c r="F25" i="7"/>
  <c r="E25" i="7"/>
  <c r="D25" i="7"/>
  <c r="C25" i="7"/>
  <c r="J24" i="7"/>
  <c r="I24" i="7"/>
  <c r="H24" i="7"/>
  <c r="G24" i="7"/>
  <c r="F24" i="7"/>
  <c r="E24" i="7"/>
  <c r="D24" i="7"/>
  <c r="C24" i="7"/>
  <c r="J23" i="7"/>
  <c r="I23" i="7"/>
  <c r="H23" i="7"/>
  <c r="G23" i="7"/>
  <c r="F23" i="7"/>
  <c r="E23" i="7"/>
  <c r="D23" i="7"/>
  <c r="C23" i="7"/>
  <c r="J22" i="7"/>
  <c r="I22" i="7"/>
  <c r="H22" i="7"/>
  <c r="G22" i="7"/>
  <c r="F22" i="7"/>
  <c r="E22" i="7"/>
  <c r="D22" i="7"/>
  <c r="C22" i="7"/>
  <c r="J21" i="7"/>
  <c r="I21" i="7"/>
  <c r="H21" i="7"/>
  <c r="G21" i="7"/>
  <c r="F21" i="7"/>
  <c r="E21" i="7"/>
  <c r="D21" i="7"/>
  <c r="C21" i="7"/>
  <c r="J20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J18" i="7"/>
  <c r="I18" i="7"/>
  <c r="H18" i="7"/>
  <c r="G18" i="7"/>
  <c r="F18" i="7"/>
  <c r="E18" i="7"/>
  <c r="D18" i="7"/>
  <c r="C18" i="7"/>
  <c r="J17" i="7"/>
  <c r="I17" i="7"/>
  <c r="H17" i="7"/>
  <c r="G17" i="7"/>
  <c r="F17" i="7"/>
  <c r="E17" i="7"/>
  <c r="D17" i="7"/>
  <c r="C17" i="7"/>
  <c r="J16" i="7"/>
  <c r="I16" i="7"/>
  <c r="H16" i="7"/>
  <c r="G16" i="7"/>
  <c r="F16" i="7"/>
  <c r="E16" i="7"/>
  <c r="D16" i="7"/>
  <c r="C16" i="7"/>
  <c r="J15" i="7"/>
  <c r="I15" i="7"/>
  <c r="H15" i="7"/>
  <c r="G15" i="7"/>
  <c r="F15" i="7"/>
  <c r="E15" i="7"/>
  <c r="D15" i="7"/>
  <c r="C15" i="7"/>
  <c r="J14" i="7"/>
  <c r="I14" i="7"/>
  <c r="H14" i="7"/>
  <c r="G14" i="7"/>
  <c r="F14" i="7"/>
  <c r="E14" i="7"/>
  <c r="D14" i="7"/>
  <c r="C14" i="7"/>
  <c r="J13" i="7"/>
  <c r="I13" i="7"/>
  <c r="H13" i="7"/>
  <c r="G13" i="7"/>
  <c r="F13" i="7"/>
  <c r="E13" i="7"/>
  <c r="D13" i="7"/>
  <c r="C13" i="7"/>
  <c r="J12" i="7"/>
  <c r="I12" i="7"/>
  <c r="H12" i="7"/>
  <c r="G12" i="7"/>
  <c r="F12" i="7"/>
  <c r="E12" i="7"/>
  <c r="D12" i="7"/>
  <c r="C12" i="7"/>
  <c r="J11" i="7"/>
  <c r="I11" i="7"/>
  <c r="H11" i="7"/>
  <c r="G11" i="7"/>
  <c r="F11" i="7"/>
  <c r="E11" i="7"/>
  <c r="D11" i="7"/>
  <c r="C11" i="7"/>
  <c r="J10" i="7"/>
  <c r="I10" i="7"/>
  <c r="H10" i="7"/>
  <c r="G10" i="7"/>
  <c r="F10" i="7"/>
  <c r="E10" i="7"/>
  <c r="D10" i="7"/>
  <c r="C10" i="7"/>
  <c r="J9" i="7"/>
  <c r="I9" i="7"/>
  <c r="H9" i="7"/>
  <c r="G9" i="7"/>
  <c r="F9" i="7"/>
  <c r="E9" i="7"/>
  <c r="D9" i="7"/>
  <c r="C9" i="7"/>
  <c r="J8" i="7"/>
  <c r="I8" i="7"/>
  <c r="H8" i="7"/>
  <c r="G8" i="7"/>
  <c r="F8" i="7"/>
  <c r="E8" i="7"/>
  <c r="D8" i="7"/>
  <c r="C8" i="7"/>
  <c r="J7" i="7"/>
  <c r="I7" i="7"/>
  <c r="H7" i="7"/>
  <c r="G7" i="7"/>
  <c r="F7" i="7"/>
  <c r="E7" i="7"/>
  <c r="D7" i="7"/>
  <c r="C7" i="7"/>
  <c r="J6" i="7"/>
  <c r="I6" i="7"/>
  <c r="H6" i="7"/>
  <c r="G6" i="7"/>
  <c r="F6" i="7"/>
  <c r="E6" i="7"/>
  <c r="D6" i="7"/>
  <c r="C6" i="7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9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9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9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9" i="5"/>
</calcChain>
</file>

<file path=xl/sharedStrings.xml><?xml version="1.0" encoding="utf-8"?>
<sst xmlns="http://schemas.openxmlformats.org/spreadsheetml/2006/main" count="3343" uniqueCount="200">
  <si>
    <t>Alg 0 = CP-ACS, Alg 3 = CP-DCM-ACO, Alg 4 = MT-CP-DCM-ACO</t>
  </si>
  <si>
    <t>Instances</t>
  </si>
  <si>
    <t>Solution Rate</t>
  </si>
  <si>
    <t>Average Time</t>
  </si>
  <si>
    <t>Standard Deviation</t>
  </si>
  <si>
    <t>Average Iteration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</si>
  <si>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</si>
  <si>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</si>
  <si>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</si>
  <si>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</si>
  <si>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</si>
  <si>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</si>
  <si>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</si>
  <si>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</si>
  <si>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</si>
  <si>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</si>
  <si>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</si>
  <si>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</si>
  <si>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</si>
  <si>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</si>
  <si>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</si>
  <si>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</si>
  <si>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</si>
  <si>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</si>
  <si>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</si>
  <si>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</si>
  <si>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</si>
  <si>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</si>
  <si>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</si>
  <si>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</si>
  <si>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</si>
  <si>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</si>
  <si>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</si>
  <si>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</si>
  <si>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</si>
  <si>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</si>
  <si>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</si>
  <si>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</si>
  <si>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</si>
  <si>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</si>
  <si>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</si>
  <si>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</si>
  <si>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</si>
  <si>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</si>
  <si>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</si>
  <si>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</si>
  <si>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</si>
  <si>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</si>
  <si>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</si>
  <si>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</si>
  <si>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</si>
  <si>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</si>
  <si>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</si>
  <si>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</si>
  <si>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</si>
  <si>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</si>
  <si>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</si>
  <si>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</si>
  <si>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</si>
  <si>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</si>
  <si>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</si>
  <si>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</si>
  <si>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</si>
  <si>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</si>
  <si>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</si>
  <si>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</si>
  <si>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</si>
  <si>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</si>
  <si>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</si>
  <si>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</si>
  <si>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</si>
  <si>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</si>
  <si>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</si>
  <si>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</si>
  <si>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</si>
  <si>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</si>
  <si>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</si>
  <si>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</si>
  <si>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</si>
  <si>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</si>
  <si>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</si>
  <si>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</si>
  <si>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</si>
  <si>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</si>
  <si>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</si>
  <si>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</si>
  <si>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</si>
  <si>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</si>
  <si>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</si>
  <si>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</si>
  <si>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</si>
  <si>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</si>
  <si>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</si>
  <si>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</si>
  <si>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</si>
  <si>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</si>
  <si>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</si>
  <si>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</si>
  <si>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</si>
  <si>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</si>
  <si>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</si>
  <si>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</si>
  <si>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</si>
  <si>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</si>
  <si>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</si>
  <si>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</si>
  <si>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puzzle_size</t>
  </si>
  <si>
    <t>nAnts_alg0</t>
  </si>
  <si>
    <t>threads_alg0</t>
  </si>
  <si>
    <t>numcolonies_alg0</t>
  </si>
  <si>
    <t>numacs_alg0</t>
  </si>
  <si>
    <t>q0_alg0</t>
  </si>
  <si>
    <t>rho_alg0</t>
  </si>
  <si>
    <t>bve_alg0</t>
  </si>
  <si>
    <t>timeout_alg0</t>
  </si>
  <si>
    <t>success_rate_alg0</t>
  </si>
  <si>
    <t>time_mean_alg0</t>
  </si>
  <si>
    <t>time_std_alg0</t>
  </si>
  <si>
    <t>iter_mean_alg0</t>
  </si>
  <si>
    <t>with_comm_alg0</t>
  </si>
  <si>
    <t>without_comm_alg0</t>
  </si>
  <si>
    <t>cp_initial_mean_alg0</t>
  </si>
  <si>
    <t>cp_ant_mean_alg0</t>
  </si>
  <si>
    <t>cp_total_mean_alg0</t>
  </si>
  <si>
    <t>acs_time_mean_alg0</t>
  </si>
  <si>
    <t>dcm_aco_time_mean_alg0</t>
  </si>
  <si>
    <t>coop_game_mean_alg0</t>
  </si>
  <si>
    <t>pheromone_fusion_mean_alg0</t>
  </si>
  <si>
    <t>public_path_mean_alg0</t>
  </si>
  <si>
    <t>communication_time_mean_alg0</t>
  </si>
  <si>
    <t>cp_percentage_alg0</t>
  </si>
  <si>
    <t>acs_time_percentage_alg0</t>
  </si>
  <si>
    <t>dcm_aco_time_percentage_alg0</t>
  </si>
  <si>
    <t>coop_game_percentage_alg0</t>
  </si>
  <si>
    <t>pheromone_fusion_percentage_alg0</t>
  </si>
  <si>
    <t>public_path_percentage_alg0</t>
  </si>
  <si>
    <t>communication_time_percentage_alg0</t>
  </si>
  <si>
    <t>N/A</t>
  </si>
  <si>
    <t>nAnts_alg3</t>
  </si>
  <si>
    <t>threads_alg3</t>
  </si>
  <si>
    <t>numcolonies_alg3</t>
  </si>
  <si>
    <t>numacs_alg3</t>
  </si>
  <si>
    <t>q0_alg3</t>
  </si>
  <si>
    <t>rho_alg3</t>
  </si>
  <si>
    <t>bve_alg3</t>
  </si>
  <si>
    <t>timeout_alg3</t>
  </si>
  <si>
    <t>success_rate_alg3</t>
  </si>
  <si>
    <t>time_mean_alg3</t>
  </si>
  <si>
    <t>time_std_alg3</t>
  </si>
  <si>
    <t>iter_mean_alg3</t>
  </si>
  <si>
    <t>with_comm_alg3</t>
  </si>
  <si>
    <t>without_comm_alg3</t>
  </si>
  <si>
    <t>cp_initial_mean_alg3</t>
  </si>
  <si>
    <t>cp_ant_mean_alg3</t>
  </si>
  <si>
    <t>cp_total_mean_alg3</t>
  </si>
  <si>
    <t>acs_time_mean_alg3</t>
  </si>
  <si>
    <t>dcm_aco_time_mean_alg3</t>
  </si>
  <si>
    <t>coop_game_mean_alg3</t>
  </si>
  <si>
    <t>pheromone_fusion_mean_alg3</t>
  </si>
  <si>
    <t>public_path_mean_alg3</t>
  </si>
  <si>
    <t>communication_time_mean_alg3</t>
  </si>
  <si>
    <t>cp_percentage_alg3</t>
  </si>
  <si>
    <t>acs_time_percentage_alg3</t>
  </si>
  <si>
    <t>dcm_aco_time_percentage_alg3</t>
  </si>
  <si>
    <t>coop_game_percentage_alg3</t>
  </si>
  <si>
    <t>pheromone_fusion_percentage_alg3</t>
  </si>
  <si>
    <t>public_path_percentage_alg3</t>
  </si>
  <si>
    <t>communication_time_percentage_alg3</t>
  </si>
  <si>
    <t>nAnts_alg4</t>
  </si>
  <si>
    <t>threads_alg4</t>
  </si>
  <si>
    <t>numcolonies_alg4</t>
  </si>
  <si>
    <t>numacs_alg4</t>
  </si>
  <si>
    <t>q0_alg4</t>
  </si>
  <si>
    <t>rho_alg4</t>
  </si>
  <si>
    <t>bve_alg4</t>
  </si>
  <si>
    <t>timeout_alg4</t>
  </si>
  <si>
    <t>success_rate_alg4</t>
  </si>
  <si>
    <t>time_mean_alg4</t>
  </si>
  <si>
    <t>time_std_alg4</t>
  </si>
  <si>
    <t>iter_mean_alg4</t>
  </si>
  <si>
    <t>with_comm_alg4</t>
  </si>
  <si>
    <t>without_comm_alg4</t>
  </si>
  <si>
    <t>cp_initial_mean_alg4</t>
  </si>
  <si>
    <t>cp_ant_mean_alg4</t>
  </si>
  <si>
    <t>cp_total_mean_alg4</t>
  </si>
  <si>
    <t>acs_time_mean_alg4</t>
  </si>
  <si>
    <t>dcm_aco_time_mean_alg4</t>
  </si>
  <si>
    <t>coop_game_mean_alg4</t>
  </si>
  <si>
    <t>pheromone_fusion_mean_alg4</t>
  </si>
  <si>
    <t>public_path_mean_alg4</t>
  </si>
  <si>
    <t>communication_time_mean_alg4</t>
  </si>
  <si>
    <t>cp_percentage_alg4</t>
  </si>
  <si>
    <t>acs_time_percentage_alg4</t>
  </si>
  <si>
    <t>dcm_aco_time_percentage_alg4</t>
  </si>
  <si>
    <t>coop_game_percentage_alg4</t>
  </si>
  <si>
    <t>pheromone_fusion_percentage_alg4</t>
  </si>
  <si>
    <t>public_path_percentage_alg4</t>
  </si>
  <si>
    <t>communication_time_percentage_alg4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</si>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</sst>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A8CB-C2F0-41A8-8A4A-F1BC799DD047}">
  <dimension ref="A1:AE101"/>
  <sheetViews>
    <sheetView workbookViewId="0">
      <selection activeCell="B29" sqref="B29"/>
    </sheetView>
  </sheetViews>
  <sheetFormatPr defaultRowHeight="14.4" x14ac:dyDescent="0.3"/>
  <cols>
    <col min="1" max="1" width="21.44140625" customWidth="1"/>
    <col min="2" max="2" width="12.77734375" customWidth="1"/>
    <col min="3" max="3" width="12.5546875" customWidth="1"/>
    <col min="4" max="4" width="16.21875" customWidth="1"/>
  </cols>
  <sheetData>
    <row r="1" spans="1:31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</row>
    <row r="2" spans="1:31" x14ac:dyDescent="0.3">
      <c r="A2" t="s">
        <v>6</v>
      </c>
      <c r="B2">
        <v>10</v>
      </c>
      <c r="C2" t="s">
        <v>137</v>
      </c>
      <c r="D2" t="s">
        <v>137</v>
      </c>
      <c r="E2" t="s">
        <v>137</v>
      </c>
      <c r="F2">
        <v>0.9</v>
      </c>
      <c r="G2">
        <v>0.9</v>
      </c>
      <c r="H2">
        <v>5.0000000000000001E-3</v>
      </c>
      <c r="I2">
        <v>120</v>
      </c>
      <c r="J2">
        <v>99</v>
      </c>
      <c r="K2">
        <v>3.3822429999999999</v>
      </c>
      <c r="L2">
        <v>6.2100989999999996</v>
      </c>
      <c r="M2">
        <v>81</v>
      </c>
      <c r="N2" t="s">
        <v>137</v>
      </c>
      <c r="O2" t="s">
        <v>137</v>
      </c>
      <c r="P2">
        <v>5.8180000000000003E-3</v>
      </c>
      <c r="Q2">
        <v>2.2711190000000001</v>
      </c>
      <c r="R2">
        <v>2.2769360000000001</v>
      </c>
      <c r="S2">
        <v>1.105307</v>
      </c>
      <c r="T2" t="s">
        <v>137</v>
      </c>
      <c r="U2" t="s">
        <v>137</v>
      </c>
      <c r="V2" t="s">
        <v>137</v>
      </c>
      <c r="W2" t="s">
        <v>137</v>
      </c>
      <c r="X2" t="s">
        <v>137</v>
      </c>
      <c r="Y2">
        <v>67.319999999999993</v>
      </c>
      <c r="Z2">
        <v>32.68</v>
      </c>
      <c r="AA2" t="s">
        <v>137</v>
      </c>
      <c r="AB2" t="s">
        <v>137</v>
      </c>
      <c r="AC2" t="s">
        <v>137</v>
      </c>
      <c r="AD2" t="s">
        <v>137</v>
      </c>
      <c r="AE2" t="s">
        <v>137</v>
      </c>
    </row>
    <row r="3" spans="1:31" x14ac:dyDescent="0.3">
      <c r="A3" t="s">
        <v>7</v>
      </c>
      <c r="B3">
        <v>10</v>
      </c>
      <c r="C3" t="s">
        <v>137</v>
      </c>
      <c r="D3" t="s">
        <v>137</v>
      </c>
      <c r="E3" t="s">
        <v>137</v>
      </c>
      <c r="F3">
        <v>0.9</v>
      </c>
      <c r="G3">
        <v>0.9</v>
      </c>
      <c r="H3">
        <v>5.0000000000000001E-3</v>
      </c>
      <c r="I3">
        <v>120</v>
      </c>
      <c r="J3">
        <v>96</v>
      </c>
      <c r="K3">
        <v>6.014875</v>
      </c>
      <c r="L3">
        <v>8.5443449999999999</v>
      </c>
      <c r="M3">
        <v>140.94999999999999</v>
      </c>
      <c r="N3" t="s">
        <v>137</v>
      </c>
      <c r="O3" t="s">
        <v>137</v>
      </c>
      <c r="P3">
        <v>5.659E-3</v>
      </c>
      <c r="Q3">
        <v>3.9395289999999998</v>
      </c>
      <c r="R3">
        <v>3.9451890000000001</v>
      </c>
      <c r="S3">
        <v>2.0696859999999999</v>
      </c>
      <c r="T3" t="s">
        <v>137</v>
      </c>
      <c r="U3" t="s">
        <v>137</v>
      </c>
      <c r="V3" t="s">
        <v>137</v>
      </c>
      <c r="W3" t="s">
        <v>137</v>
      </c>
      <c r="X3" t="s">
        <v>137</v>
      </c>
      <c r="Y3">
        <v>65.59</v>
      </c>
      <c r="Z3">
        <v>34.409999999999997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</row>
    <row r="4" spans="1:31" x14ac:dyDescent="0.3">
      <c r="A4" t="s">
        <v>8</v>
      </c>
      <c r="B4">
        <v>10</v>
      </c>
      <c r="C4" t="s">
        <v>137</v>
      </c>
      <c r="D4" t="s">
        <v>137</v>
      </c>
      <c r="E4" t="s">
        <v>137</v>
      </c>
      <c r="F4">
        <v>0.9</v>
      </c>
      <c r="G4">
        <v>0.9</v>
      </c>
      <c r="H4">
        <v>5.0000000000000001E-3</v>
      </c>
      <c r="I4">
        <v>120</v>
      </c>
      <c r="J4">
        <v>96</v>
      </c>
      <c r="K4">
        <v>7.6785100000000002</v>
      </c>
      <c r="L4">
        <v>9.2067119999999996</v>
      </c>
      <c r="M4">
        <v>180.09</v>
      </c>
      <c r="N4" t="s">
        <v>137</v>
      </c>
      <c r="O4" t="s">
        <v>137</v>
      </c>
      <c r="P4">
        <v>5.7990000000000003E-3</v>
      </c>
      <c r="Q4">
        <v>4.996715</v>
      </c>
      <c r="R4">
        <v>5.0025149999999998</v>
      </c>
      <c r="S4">
        <v>2.6759949999999999</v>
      </c>
      <c r="T4" t="s">
        <v>137</v>
      </c>
      <c r="U4" t="s">
        <v>137</v>
      </c>
      <c r="V4" t="s">
        <v>137</v>
      </c>
      <c r="W4" t="s">
        <v>137</v>
      </c>
      <c r="X4" t="s">
        <v>137</v>
      </c>
      <c r="Y4">
        <v>65.150000000000006</v>
      </c>
      <c r="Z4">
        <v>34.85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</row>
    <row r="5" spans="1:31" x14ac:dyDescent="0.3">
      <c r="A5" t="s">
        <v>9</v>
      </c>
      <c r="B5">
        <v>10</v>
      </c>
      <c r="C5" t="s">
        <v>137</v>
      </c>
      <c r="D5" t="s">
        <v>137</v>
      </c>
      <c r="E5" t="s">
        <v>137</v>
      </c>
      <c r="F5">
        <v>0.9</v>
      </c>
      <c r="G5">
        <v>0.9</v>
      </c>
      <c r="H5">
        <v>5.0000000000000001E-3</v>
      </c>
      <c r="I5">
        <v>120</v>
      </c>
      <c r="J5">
        <v>97</v>
      </c>
      <c r="K5">
        <v>4.357386</v>
      </c>
      <c r="L5">
        <v>4.6830069999999999</v>
      </c>
      <c r="M5">
        <v>104.8</v>
      </c>
      <c r="N5" t="s">
        <v>137</v>
      </c>
      <c r="O5" t="s">
        <v>137</v>
      </c>
      <c r="P5">
        <v>5.6940000000000003E-3</v>
      </c>
      <c r="Q5">
        <v>3.2021229999999998</v>
      </c>
      <c r="R5">
        <v>3.2078169999999999</v>
      </c>
      <c r="S5">
        <v>1.1495690000000001</v>
      </c>
      <c r="T5" t="s">
        <v>137</v>
      </c>
      <c r="U5" t="s">
        <v>137</v>
      </c>
      <c r="V5" t="s">
        <v>137</v>
      </c>
      <c r="W5" t="s">
        <v>137</v>
      </c>
      <c r="X5" t="s">
        <v>137</v>
      </c>
      <c r="Y5">
        <v>73.62</v>
      </c>
      <c r="Z5">
        <v>26.38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</row>
    <row r="6" spans="1:31" x14ac:dyDescent="0.3">
      <c r="A6" t="s">
        <v>10</v>
      </c>
      <c r="B6">
        <v>10</v>
      </c>
      <c r="C6" t="s">
        <v>137</v>
      </c>
      <c r="D6" t="s">
        <v>137</v>
      </c>
      <c r="E6" t="s">
        <v>137</v>
      </c>
      <c r="F6">
        <v>0.9</v>
      </c>
      <c r="G6">
        <v>0.9</v>
      </c>
      <c r="H6">
        <v>5.0000000000000001E-3</v>
      </c>
      <c r="I6">
        <v>120</v>
      </c>
      <c r="J6">
        <v>92</v>
      </c>
      <c r="K6">
        <v>9.802543</v>
      </c>
      <c r="L6">
        <v>19.625461000000001</v>
      </c>
      <c r="M6">
        <v>228.77</v>
      </c>
      <c r="N6" t="s">
        <v>137</v>
      </c>
      <c r="O6" t="s">
        <v>137</v>
      </c>
      <c r="P6">
        <v>5.7109999999999999E-3</v>
      </c>
      <c r="Q6">
        <v>4.5994260000000002</v>
      </c>
      <c r="R6">
        <v>4.6051380000000002</v>
      </c>
      <c r="S6">
        <v>5.1974049999999998</v>
      </c>
      <c r="T6" t="s">
        <v>137</v>
      </c>
      <c r="U6" t="s">
        <v>137</v>
      </c>
      <c r="V6" t="s">
        <v>137</v>
      </c>
      <c r="W6" t="s">
        <v>137</v>
      </c>
      <c r="X6" t="s">
        <v>137</v>
      </c>
      <c r="Y6">
        <v>46.98</v>
      </c>
      <c r="Z6">
        <v>53.02</v>
      </c>
      <c r="AA6" t="s">
        <v>137</v>
      </c>
      <c r="AB6" t="s">
        <v>137</v>
      </c>
      <c r="AC6" t="s">
        <v>137</v>
      </c>
      <c r="AD6" t="s">
        <v>137</v>
      </c>
      <c r="AE6" t="s">
        <v>137</v>
      </c>
    </row>
    <row r="7" spans="1:31" x14ac:dyDescent="0.3">
      <c r="A7" t="s">
        <v>11</v>
      </c>
      <c r="B7">
        <v>10</v>
      </c>
      <c r="C7" t="s">
        <v>137</v>
      </c>
      <c r="D7" t="s">
        <v>137</v>
      </c>
      <c r="E7" t="s">
        <v>137</v>
      </c>
      <c r="F7">
        <v>0.9</v>
      </c>
      <c r="G7">
        <v>0.9</v>
      </c>
      <c r="H7">
        <v>5.0000000000000001E-3</v>
      </c>
      <c r="I7">
        <v>120</v>
      </c>
      <c r="J7">
        <v>93</v>
      </c>
      <c r="K7">
        <v>8.0626909999999992</v>
      </c>
      <c r="L7">
        <v>13.05574</v>
      </c>
      <c r="M7">
        <v>187.19</v>
      </c>
      <c r="N7" t="s">
        <v>137</v>
      </c>
      <c r="O7" t="s">
        <v>137</v>
      </c>
      <c r="P7">
        <v>5.9129999999999999E-3</v>
      </c>
      <c r="Q7">
        <v>4.5988579999999999</v>
      </c>
      <c r="R7">
        <v>4.6047700000000003</v>
      </c>
      <c r="S7">
        <v>3.4579200000000001</v>
      </c>
      <c r="T7" t="s">
        <v>137</v>
      </c>
      <c r="U7" t="s">
        <v>137</v>
      </c>
      <c r="V7" t="s">
        <v>137</v>
      </c>
      <c r="W7" t="s">
        <v>137</v>
      </c>
      <c r="X7" t="s">
        <v>137</v>
      </c>
      <c r="Y7">
        <v>57.11</v>
      </c>
      <c r="Z7">
        <v>42.89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</row>
    <row r="8" spans="1:31" x14ac:dyDescent="0.3">
      <c r="A8" t="s">
        <v>12</v>
      </c>
      <c r="B8">
        <v>10</v>
      </c>
      <c r="C8" t="s">
        <v>137</v>
      </c>
      <c r="D8" t="s">
        <v>137</v>
      </c>
      <c r="E8" t="s">
        <v>137</v>
      </c>
      <c r="F8">
        <v>0.9</v>
      </c>
      <c r="G8">
        <v>0.9</v>
      </c>
      <c r="H8">
        <v>5.0000000000000001E-3</v>
      </c>
      <c r="I8">
        <v>120</v>
      </c>
      <c r="J8">
        <v>99</v>
      </c>
      <c r="K8">
        <v>3.2147039999999998</v>
      </c>
      <c r="L8">
        <v>5.6347550000000002</v>
      </c>
      <c r="M8">
        <v>77.89</v>
      </c>
      <c r="N8" t="s">
        <v>137</v>
      </c>
      <c r="O8" t="s">
        <v>137</v>
      </c>
      <c r="P8">
        <v>5.7609999999999996E-3</v>
      </c>
      <c r="Q8">
        <v>2.1925210000000002</v>
      </c>
      <c r="R8">
        <v>2.1982819999999998</v>
      </c>
      <c r="S8">
        <v>1.0164230000000001</v>
      </c>
      <c r="T8" t="s">
        <v>137</v>
      </c>
      <c r="U8" t="s">
        <v>137</v>
      </c>
      <c r="V8" t="s">
        <v>137</v>
      </c>
      <c r="W8" t="s">
        <v>137</v>
      </c>
      <c r="X8" t="s">
        <v>137</v>
      </c>
      <c r="Y8">
        <v>68.38</v>
      </c>
      <c r="Z8">
        <v>31.62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</row>
    <row r="9" spans="1:31" x14ac:dyDescent="0.3">
      <c r="A9" t="s">
        <v>13</v>
      </c>
      <c r="B9">
        <v>10</v>
      </c>
      <c r="C9" t="s">
        <v>137</v>
      </c>
      <c r="D9" t="s">
        <v>137</v>
      </c>
      <c r="E9" t="s">
        <v>137</v>
      </c>
      <c r="F9">
        <v>0.9</v>
      </c>
      <c r="G9">
        <v>0.9</v>
      </c>
      <c r="H9">
        <v>5.0000000000000001E-3</v>
      </c>
      <c r="I9">
        <v>120</v>
      </c>
      <c r="J9">
        <v>96</v>
      </c>
      <c r="K9">
        <v>3.684984</v>
      </c>
      <c r="L9">
        <v>5.4529069999999997</v>
      </c>
      <c r="M9">
        <v>92.35</v>
      </c>
      <c r="N9" t="s">
        <v>137</v>
      </c>
      <c r="O9" t="s">
        <v>137</v>
      </c>
      <c r="P9">
        <v>5.8430000000000001E-3</v>
      </c>
      <c r="Q9">
        <v>2.5945049999999998</v>
      </c>
      <c r="R9">
        <v>2.6003479999999999</v>
      </c>
      <c r="S9">
        <v>1.084635</v>
      </c>
      <c r="T9" t="s">
        <v>137</v>
      </c>
      <c r="U9" t="s">
        <v>137</v>
      </c>
      <c r="V9" t="s">
        <v>137</v>
      </c>
      <c r="W9" t="s">
        <v>137</v>
      </c>
      <c r="X9" t="s">
        <v>137</v>
      </c>
      <c r="Y9">
        <v>70.569999999999993</v>
      </c>
      <c r="Z9">
        <v>29.43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</row>
    <row r="10" spans="1:31" x14ac:dyDescent="0.3">
      <c r="A10" t="s">
        <v>14</v>
      </c>
      <c r="B10">
        <v>10</v>
      </c>
      <c r="C10" t="s">
        <v>137</v>
      </c>
      <c r="D10" t="s">
        <v>137</v>
      </c>
      <c r="E10" t="s">
        <v>137</v>
      </c>
      <c r="F10">
        <v>0.9</v>
      </c>
      <c r="G10">
        <v>0.9</v>
      </c>
      <c r="H10">
        <v>5.0000000000000001E-3</v>
      </c>
      <c r="I10">
        <v>120</v>
      </c>
      <c r="J10">
        <v>97</v>
      </c>
      <c r="K10">
        <v>6.9178940000000004</v>
      </c>
      <c r="L10">
        <v>16.209624999999999</v>
      </c>
      <c r="M10">
        <v>173.94</v>
      </c>
      <c r="N10" t="s">
        <v>137</v>
      </c>
      <c r="O10" t="s">
        <v>137</v>
      </c>
      <c r="P10">
        <v>5.5579999999999996E-3</v>
      </c>
      <c r="Q10">
        <v>3.4318390000000001</v>
      </c>
      <c r="R10">
        <v>3.4373969999999998</v>
      </c>
      <c r="S10">
        <v>3.4804970000000002</v>
      </c>
      <c r="T10" t="s">
        <v>137</v>
      </c>
      <c r="U10" t="s">
        <v>137</v>
      </c>
      <c r="V10" t="s">
        <v>137</v>
      </c>
      <c r="W10" t="s">
        <v>137</v>
      </c>
      <c r="X10" t="s">
        <v>137</v>
      </c>
      <c r="Y10">
        <v>49.69</v>
      </c>
      <c r="Z10">
        <v>50.31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</row>
    <row r="11" spans="1:31" x14ac:dyDescent="0.3">
      <c r="A11" t="s">
        <v>15</v>
      </c>
      <c r="B11">
        <v>10</v>
      </c>
      <c r="C11" t="s">
        <v>137</v>
      </c>
      <c r="D11" t="s">
        <v>137</v>
      </c>
      <c r="E11" t="s">
        <v>137</v>
      </c>
      <c r="F11">
        <v>0.9</v>
      </c>
      <c r="G11">
        <v>0.9</v>
      </c>
      <c r="H11">
        <v>5.0000000000000001E-3</v>
      </c>
      <c r="I11">
        <v>120</v>
      </c>
      <c r="J11">
        <v>97</v>
      </c>
      <c r="K11">
        <v>5.4257039999999996</v>
      </c>
      <c r="L11">
        <v>16.567532</v>
      </c>
      <c r="M11">
        <v>128.63999999999999</v>
      </c>
      <c r="N11" t="s">
        <v>137</v>
      </c>
      <c r="O11" t="s">
        <v>137</v>
      </c>
      <c r="P11">
        <v>6.1500000000000001E-3</v>
      </c>
      <c r="Q11">
        <v>2.5851120000000001</v>
      </c>
      <c r="R11">
        <v>2.5912630000000001</v>
      </c>
      <c r="S11">
        <v>2.8344420000000001</v>
      </c>
      <c r="T11" t="s">
        <v>137</v>
      </c>
      <c r="U11" t="s">
        <v>137</v>
      </c>
      <c r="V11" t="s">
        <v>137</v>
      </c>
      <c r="W11" t="s">
        <v>137</v>
      </c>
      <c r="X11" t="s">
        <v>137</v>
      </c>
      <c r="Y11">
        <v>47.76</v>
      </c>
      <c r="Z11">
        <v>52.24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</row>
    <row r="12" spans="1:31" x14ac:dyDescent="0.3">
      <c r="A12" t="s">
        <v>16</v>
      </c>
      <c r="B12">
        <v>10</v>
      </c>
      <c r="C12" t="s">
        <v>137</v>
      </c>
      <c r="D12" t="s">
        <v>137</v>
      </c>
      <c r="E12" t="s">
        <v>137</v>
      </c>
      <c r="F12">
        <v>0.9</v>
      </c>
      <c r="G12">
        <v>0.9</v>
      </c>
      <c r="H12">
        <v>5.0000000000000001E-3</v>
      </c>
      <c r="I12">
        <v>120</v>
      </c>
      <c r="J12">
        <v>37</v>
      </c>
      <c r="K12">
        <v>19.547435</v>
      </c>
      <c r="L12">
        <v>21.964074</v>
      </c>
      <c r="M12">
        <v>624.08000000000004</v>
      </c>
      <c r="N12" t="s">
        <v>137</v>
      </c>
      <c r="O12" t="s">
        <v>137</v>
      </c>
      <c r="P12">
        <v>6.3749999999999996E-3</v>
      </c>
      <c r="Q12">
        <v>8.7329369999999997</v>
      </c>
      <c r="R12">
        <v>8.739312</v>
      </c>
      <c r="S12">
        <v>10.808123999999999</v>
      </c>
      <c r="T12" t="s">
        <v>137</v>
      </c>
      <c r="U12" t="s">
        <v>137</v>
      </c>
      <c r="V12" t="s">
        <v>137</v>
      </c>
      <c r="W12" t="s">
        <v>137</v>
      </c>
      <c r="X12" t="s">
        <v>137</v>
      </c>
      <c r="Y12">
        <v>44.71</v>
      </c>
      <c r="Z12">
        <v>55.29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</row>
    <row r="13" spans="1:31" x14ac:dyDescent="0.3">
      <c r="A13" t="s">
        <v>17</v>
      </c>
      <c r="B13">
        <v>10</v>
      </c>
      <c r="C13" t="s">
        <v>137</v>
      </c>
      <c r="D13" t="s">
        <v>137</v>
      </c>
      <c r="E13" t="s">
        <v>137</v>
      </c>
      <c r="F13">
        <v>0.9</v>
      </c>
      <c r="G13">
        <v>0.9</v>
      </c>
      <c r="H13">
        <v>5.0000000000000001E-3</v>
      </c>
      <c r="I13">
        <v>120</v>
      </c>
      <c r="J13">
        <v>84</v>
      </c>
      <c r="K13">
        <v>10.310214999999999</v>
      </c>
      <c r="L13">
        <v>19.044917999999999</v>
      </c>
      <c r="M13">
        <v>338.83</v>
      </c>
      <c r="N13" t="s">
        <v>137</v>
      </c>
      <c r="O13" t="s">
        <v>137</v>
      </c>
      <c r="P13">
        <v>6.502E-3</v>
      </c>
      <c r="Q13">
        <v>4.560759</v>
      </c>
      <c r="R13">
        <v>4.5672610000000002</v>
      </c>
      <c r="S13">
        <v>5.7429550000000003</v>
      </c>
      <c r="T13" t="s">
        <v>137</v>
      </c>
      <c r="U13" t="s">
        <v>137</v>
      </c>
      <c r="V13" t="s">
        <v>137</v>
      </c>
      <c r="W13" t="s">
        <v>137</v>
      </c>
      <c r="X13" t="s">
        <v>137</v>
      </c>
      <c r="Y13">
        <v>44.3</v>
      </c>
      <c r="Z13">
        <v>55.7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</row>
    <row r="14" spans="1:31" x14ac:dyDescent="0.3">
      <c r="A14" t="s">
        <v>18</v>
      </c>
      <c r="B14">
        <v>10</v>
      </c>
      <c r="C14" t="s">
        <v>137</v>
      </c>
      <c r="D14" t="s">
        <v>137</v>
      </c>
      <c r="E14" t="s">
        <v>137</v>
      </c>
      <c r="F14">
        <v>0.9</v>
      </c>
      <c r="G14">
        <v>0.9</v>
      </c>
      <c r="H14">
        <v>5.0000000000000001E-3</v>
      </c>
      <c r="I14">
        <v>120</v>
      </c>
      <c r="J14">
        <v>93</v>
      </c>
      <c r="K14">
        <v>4.9662540000000002</v>
      </c>
      <c r="L14">
        <v>11.362121999999999</v>
      </c>
      <c r="M14">
        <v>173.97</v>
      </c>
      <c r="N14" t="s">
        <v>137</v>
      </c>
      <c r="O14" t="s">
        <v>137</v>
      </c>
      <c r="P14">
        <v>6.1650000000000003E-3</v>
      </c>
      <c r="Q14">
        <v>2.6124480000000001</v>
      </c>
      <c r="R14">
        <v>2.6186129999999999</v>
      </c>
      <c r="S14">
        <v>2.3476409999999999</v>
      </c>
      <c r="T14" t="s">
        <v>137</v>
      </c>
      <c r="U14" t="s">
        <v>137</v>
      </c>
      <c r="V14" t="s">
        <v>137</v>
      </c>
      <c r="W14" t="s">
        <v>137</v>
      </c>
      <c r="X14" t="s">
        <v>137</v>
      </c>
      <c r="Y14">
        <v>52.73</v>
      </c>
      <c r="Z14">
        <v>47.27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</row>
    <row r="15" spans="1:31" x14ac:dyDescent="0.3">
      <c r="A15" t="s">
        <v>19</v>
      </c>
      <c r="B15">
        <v>10</v>
      </c>
      <c r="C15" t="s">
        <v>137</v>
      </c>
      <c r="D15" t="s">
        <v>137</v>
      </c>
      <c r="E15" t="s">
        <v>137</v>
      </c>
      <c r="F15">
        <v>0.9</v>
      </c>
      <c r="G15">
        <v>0.9</v>
      </c>
      <c r="H15">
        <v>5.0000000000000001E-3</v>
      </c>
      <c r="I15">
        <v>120</v>
      </c>
      <c r="J15">
        <v>67</v>
      </c>
      <c r="K15">
        <v>15.083443000000001</v>
      </c>
      <c r="L15">
        <v>20.248811</v>
      </c>
      <c r="M15">
        <v>549.79</v>
      </c>
      <c r="N15" t="s">
        <v>137</v>
      </c>
      <c r="O15" t="s">
        <v>137</v>
      </c>
      <c r="P15">
        <v>7.1190000000000003E-3</v>
      </c>
      <c r="Q15">
        <v>6.8301360000000004</v>
      </c>
      <c r="R15">
        <v>6.8372549999999999</v>
      </c>
      <c r="S15">
        <v>8.2461880000000001</v>
      </c>
      <c r="T15" t="s">
        <v>137</v>
      </c>
      <c r="U15" t="s">
        <v>137</v>
      </c>
      <c r="V15" t="s">
        <v>137</v>
      </c>
      <c r="W15" t="s">
        <v>137</v>
      </c>
      <c r="X15" t="s">
        <v>137</v>
      </c>
      <c r="Y15">
        <v>45.33</v>
      </c>
      <c r="Z15">
        <v>54.67</v>
      </c>
      <c r="AA15" t="s">
        <v>137</v>
      </c>
      <c r="AB15" t="s">
        <v>137</v>
      </c>
      <c r="AC15" t="s">
        <v>137</v>
      </c>
      <c r="AD15" t="s">
        <v>137</v>
      </c>
      <c r="AE15" t="s">
        <v>137</v>
      </c>
    </row>
    <row r="16" spans="1:31" x14ac:dyDescent="0.3">
      <c r="A16" t="s">
        <v>20</v>
      </c>
      <c r="B16">
        <v>10</v>
      </c>
      <c r="C16" t="s">
        <v>137</v>
      </c>
      <c r="D16" t="s">
        <v>137</v>
      </c>
      <c r="E16" t="s">
        <v>137</v>
      </c>
      <c r="F16">
        <v>0.9</v>
      </c>
      <c r="G16">
        <v>0.9</v>
      </c>
      <c r="H16">
        <v>5.0000000000000001E-3</v>
      </c>
      <c r="I16">
        <v>120</v>
      </c>
      <c r="J16">
        <v>80</v>
      </c>
      <c r="K16">
        <v>9.2361439999999995</v>
      </c>
      <c r="L16">
        <v>16.574379</v>
      </c>
      <c r="M16">
        <v>304.31</v>
      </c>
      <c r="N16" t="s">
        <v>137</v>
      </c>
      <c r="O16" t="s">
        <v>137</v>
      </c>
      <c r="P16">
        <v>6.2599999999999999E-3</v>
      </c>
      <c r="Q16">
        <v>4.2357750000000003</v>
      </c>
      <c r="R16">
        <v>4.2420359999999997</v>
      </c>
      <c r="S16">
        <v>4.9941089999999999</v>
      </c>
      <c r="T16" t="s">
        <v>137</v>
      </c>
      <c r="U16" t="s">
        <v>137</v>
      </c>
      <c r="V16" t="s">
        <v>137</v>
      </c>
      <c r="W16" t="s">
        <v>137</v>
      </c>
      <c r="X16" t="s">
        <v>137</v>
      </c>
      <c r="Y16">
        <v>45.93</v>
      </c>
      <c r="Z16">
        <v>54.07</v>
      </c>
      <c r="AA16" t="s">
        <v>137</v>
      </c>
      <c r="AB16" t="s">
        <v>137</v>
      </c>
      <c r="AC16" t="s">
        <v>137</v>
      </c>
      <c r="AD16" t="s">
        <v>137</v>
      </c>
      <c r="AE16" t="s">
        <v>137</v>
      </c>
    </row>
    <row r="17" spans="1:31" x14ac:dyDescent="0.3">
      <c r="A17" t="s">
        <v>21</v>
      </c>
      <c r="B17">
        <v>10</v>
      </c>
      <c r="C17" t="s">
        <v>137</v>
      </c>
      <c r="D17" t="s">
        <v>137</v>
      </c>
      <c r="E17" t="s">
        <v>137</v>
      </c>
      <c r="F17">
        <v>0.9</v>
      </c>
      <c r="G17">
        <v>0.9</v>
      </c>
      <c r="H17">
        <v>5.0000000000000001E-3</v>
      </c>
      <c r="I17">
        <v>120</v>
      </c>
      <c r="J17">
        <v>84</v>
      </c>
      <c r="K17">
        <v>11.934984</v>
      </c>
      <c r="L17">
        <v>20.645416000000001</v>
      </c>
      <c r="M17">
        <v>369.88</v>
      </c>
      <c r="N17" t="s">
        <v>137</v>
      </c>
      <c r="O17" t="s">
        <v>137</v>
      </c>
      <c r="P17">
        <v>6.2509999999999996E-3</v>
      </c>
      <c r="Q17">
        <v>5.2845959999999996</v>
      </c>
      <c r="R17">
        <v>5.2908470000000003</v>
      </c>
      <c r="S17">
        <v>6.6441369999999997</v>
      </c>
      <c r="T17" t="s">
        <v>137</v>
      </c>
      <c r="U17" t="s">
        <v>137</v>
      </c>
      <c r="V17" t="s">
        <v>137</v>
      </c>
      <c r="W17" t="s">
        <v>137</v>
      </c>
      <c r="X17" t="s">
        <v>137</v>
      </c>
      <c r="Y17">
        <v>44.33</v>
      </c>
      <c r="Z17">
        <v>55.67</v>
      </c>
      <c r="AA17" t="s">
        <v>137</v>
      </c>
      <c r="AB17" t="s">
        <v>137</v>
      </c>
      <c r="AC17" t="s">
        <v>137</v>
      </c>
      <c r="AD17" t="s">
        <v>137</v>
      </c>
      <c r="AE17" t="s">
        <v>137</v>
      </c>
    </row>
    <row r="18" spans="1:31" x14ac:dyDescent="0.3">
      <c r="A18" t="s">
        <v>22</v>
      </c>
      <c r="B18">
        <v>10</v>
      </c>
      <c r="C18" t="s">
        <v>137</v>
      </c>
      <c r="D18" t="s">
        <v>137</v>
      </c>
      <c r="E18" t="s">
        <v>137</v>
      </c>
      <c r="F18">
        <v>0.9</v>
      </c>
      <c r="G18">
        <v>0.9</v>
      </c>
      <c r="H18">
        <v>5.0000000000000001E-3</v>
      </c>
      <c r="I18">
        <v>120</v>
      </c>
      <c r="J18">
        <v>92</v>
      </c>
      <c r="K18">
        <v>5.7859949999999998</v>
      </c>
      <c r="L18">
        <v>11.912679000000001</v>
      </c>
      <c r="M18">
        <v>183.51</v>
      </c>
      <c r="N18" t="s">
        <v>137</v>
      </c>
      <c r="O18" t="s">
        <v>137</v>
      </c>
      <c r="P18">
        <v>6.4019999999999997E-3</v>
      </c>
      <c r="Q18">
        <v>3.168161</v>
      </c>
      <c r="R18">
        <v>3.174563</v>
      </c>
      <c r="S18">
        <v>2.6114320000000002</v>
      </c>
      <c r="T18" t="s">
        <v>137</v>
      </c>
      <c r="U18" t="s">
        <v>137</v>
      </c>
      <c r="V18" t="s">
        <v>137</v>
      </c>
      <c r="W18" t="s">
        <v>137</v>
      </c>
      <c r="X18" t="s">
        <v>137</v>
      </c>
      <c r="Y18">
        <v>54.87</v>
      </c>
      <c r="Z18">
        <v>45.13</v>
      </c>
      <c r="AA18" t="s">
        <v>137</v>
      </c>
      <c r="AB18" t="s">
        <v>137</v>
      </c>
      <c r="AC18" t="s">
        <v>137</v>
      </c>
      <c r="AD18" t="s">
        <v>137</v>
      </c>
      <c r="AE18" t="s">
        <v>137</v>
      </c>
    </row>
    <row r="19" spans="1:31" x14ac:dyDescent="0.3">
      <c r="A19" t="s">
        <v>23</v>
      </c>
      <c r="B19">
        <v>10</v>
      </c>
      <c r="C19" t="s">
        <v>137</v>
      </c>
      <c r="D19" t="s">
        <v>137</v>
      </c>
      <c r="E19" t="s">
        <v>137</v>
      </c>
      <c r="F19">
        <v>0.9</v>
      </c>
      <c r="G19">
        <v>0.9</v>
      </c>
      <c r="H19">
        <v>5.0000000000000001E-3</v>
      </c>
      <c r="I19">
        <v>120</v>
      </c>
      <c r="J19">
        <v>75</v>
      </c>
      <c r="K19">
        <v>13.479756</v>
      </c>
      <c r="L19">
        <v>19.830580999999999</v>
      </c>
      <c r="M19">
        <v>463.05</v>
      </c>
      <c r="N19" t="s">
        <v>137</v>
      </c>
      <c r="O19" t="s">
        <v>137</v>
      </c>
      <c r="P19">
        <v>6.5009999999999998E-3</v>
      </c>
      <c r="Q19">
        <v>6.2251240000000001</v>
      </c>
      <c r="R19">
        <v>6.2316250000000002</v>
      </c>
      <c r="S19">
        <v>7.2481309999999999</v>
      </c>
      <c r="T19" t="s">
        <v>137</v>
      </c>
      <c r="U19" t="s">
        <v>137</v>
      </c>
      <c r="V19" t="s">
        <v>137</v>
      </c>
      <c r="W19" t="s">
        <v>137</v>
      </c>
      <c r="X19" t="s">
        <v>137</v>
      </c>
      <c r="Y19">
        <v>46.23</v>
      </c>
      <c r="Z19">
        <v>53.77</v>
      </c>
      <c r="AA19" t="s">
        <v>137</v>
      </c>
      <c r="AB19" t="s">
        <v>137</v>
      </c>
      <c r="AC19" t="s">
        <v>137</v>
      </c>
      <c r="AD19" t="s">
        <v>137</v>
      </c>
      <c r="AE19" t="s">
        <v>137</v>
      </c>
    </row>
    <row r="20" spans="1:31" x14ac:dyDescent="0.3">
      <c r="A20" t="s">
        <v>24</v>
      </c>
      <c r="B20">
        <v>10</v>
      </c>
      <c r="C20" t="s">
        <v>137</v>
      </c>
      <c r="D20" t="s">
        <v>137</v>
      </c>
      <c r="E20" t="s">
        <v>137</v>
      </c>
      <c r="F20">
        <v>0.9</v>
      </c>
      <c r="G20">
        <v>0.9</v>
      </c>
      <c r="H20">
        <v>5.0000000000000001E-3</v>
      </c>
      <c r="I20">
        <v>120</v>
      </c>
      <c r="J20">
        <v>68</v>
      </c>
      <c r="K20">
        <v>14.089071000000001</v>
      </c>
      <c r="L20">
        <v>20.960863</v>
      </c>
      <c r="M20">
        <v>467.31</v>
      </c>
      <c r="N20" t="s">
        <v>137</v>
      </c>
      <c r="O20" t="s">
        <v>137</v>
      </c>
      <c r="P20">
        <v>6.2069999999999998E-3</v>
      </c>
      <c r="Q20">
        <v>6.0379170000000002</v>
      </c>
      <c r="R20">
        <v>6.0441240000000001</v>
      </c>
      <c r="S20">
        <v>8.0449470000000005</v>
      </c>
      <c r="T20" t="s">
        <v>137</v>
      </c>
      <c r="U20" t="s">
        <v>137</v>
      </c>
      <c r="V20" t="s">
        <v>137</v>
      </c>
      <c r="W20" t="s">
        <v>137</v>
      </c>
      <c r="X20" t="s">
        <v>137</v>
      </c>
      <c r="Y20">
        <v>42.9</v>
      </c>
      <c r="Z20">
        <v>57.1</v>
      </c>
      <c r="AA20" t="s">
        <v>137</v>
      </c>
      <c r="AB20" t="s">
        <v>137</v>
      </c>
      <c r="AC20" t="s">
        <v>137</v>
      </c>
      <c r="AD20" t="s">
        <v>137</v>
      </c>
      <c r="AE20" t="s">
        <v>137</v>
      </c>
    </row>
    <row r="21" spans="1:31" x14ac:dyDescent="0.3">
      <c r="A21" t="s">
        <v>25</v>
      </c>
      <c r="B21">
        <v>10</v>
      </c>
      <c r="C21" t="s">
        <v>137</v>
      </c>
      <c r="D21" t="s">
        <v>137</v>
      </c>
      <c r="E21" t="s">
        <v>137</v>
      </c>
      <c r="F21">
        <v>0.9</v>
      </c>
      <c r="G21">
        <v>0.9</v>
      </c>
      <c r="H21">
        <v>5.0000000000000001E-3</v>
      </c>
      <c r="I21">
        <v>120</v>
      </c>
      <c r="J21">
        <v>66</v>
      </c>
      <c r="K21">
        <v>10.868178</v>
      </c>
      <c r="L21">
        <v>16.769604000000001</v>
      </c>
      <c r="M21">
        <v>358.74</v>
      </c>
      <c r="N21" t="s">
        <v>137</v>
      </c>
      <c r="O21" t="s">
        <v>137</v>
      </c>
      <c r="P21">
        <v>6.019E-3</v>
      </c>
      <c r="Q21">
        <v>5.493493</v>
      </c>
      <c r="R21">
        <v>5.4995120000000002</v>
      </c>
      <c r="S21">
        <v>5.368665</v>
      </c>
      <c r="T21" t="s">
        <v>137</v>
      </c>
      <c r="U21" t="s">
        <v>137</v>
      </c>
      <c r="V21" t="s">
        <v>137</v>
      </c>
      <c r="W21" t="s">
        <v>137</v>
      </c>
      <c r="X21" t="s">
        <v>137</v>
      </c>
      <c r="Y21">
        <v>50.6</v>
      </c>
      <c r="Z21">
        <v>49.4</v>
      </c>
      <c r="AA21" t="s">
        <v>137</v>
      </c>
      <c r="AB21" t="s">
        <v>137</v>
      </c>
      <c r="AC21" t="s">
        <v>137</v>
      </c>
      <c r="AD21" t="s">
        <v>137</v>
      </c>
      <c r="AE21" t="s">
        <v>137</v>
      </c>
    </row>
    <row r="22" spans="1:31" x14ac:dyDescent="0.3">
      <c r="A22" t="s">
        <v>26</v>
      </c>
      <c r="B22">
        <v>10</v>
      </c>
      <c r="C22" t="s">
        <v>137</v>
      </c>
      <c r="D22" t="s">
        <v>137</v>
      </c>
      <c r="E22" t="s">
        <v>137</v>
      </c>
      <c r="F22">
        <v>0.9</v>
      </c>
      <c r="G22">
        <v>0.9</v>
      </c>
      <c r="H22">
        <v>5.0000000000000001E-3</v>
      </c>
      <c r="I22">
        <v>120</v>
      </c>
      <c r="J22">
        <v>80</v>
      </c>
      <c r="K22">
        <v>10.494408999999999</v>
      </c>
      <c r="L22">
        <v>17.121483999999999</v>
      </c>
      <c r="M22">
        <v>340.9</v>
      </c>
      <c r="N22" t="s">
        <v>137</v>
      </c>
      <c r="O22" t="s">
        <v>137</v>
      </c>
      <c r="P22">
        <v>5.8729999999999997E-3</v>
      </c>
      <c r="Q22">
        <v>5.1119969999999997</v>
      </c>
      <c r="R22">
        <v>5.1178699999999999</v>
      </c>
      <c r="S22">
        <v>5.3765390000000002</v>
      </c>
      <c r="T22" t="s">
        <v>137</v>
      </c>
      <c r="U22" t="s">
        <v>137</v>
      </c>
      <c r="V22" t="s">
        <v>137</v>
      </c>
      <c r="W22" t="s">
        <v>137</v>
      </c>
      <c r="X22" t="s">
        <v>137</v>
      </c>
      <c r="Y22">
        <v>48.77</v>
      </c>
      <c r="Z22">
        <v>51.23</v>
      </c>
      <c r="AA22" t="s">
        <v>137</v>
      </c>
      <c r="AB22" t="s">
        <v>137</v>
      </c>
      <c r="AC22" t="s">
        <v>137</v>
      </c>
      <c r="AD22" t="s">
        <v>137</v>
      </c>
      <c r="AE22" t="s">
        <v>137</v>
      </c>
    </row>
    <row r="23" spans="1:31" x14ac:dyDescent="0.3">
      <c r="A23" t="s">
        <v>27</v>
      </c>
      <c r="B23">
        <v>10</v>
      </c>
      <c r="C23" t="s">
        <v>137</v>
      </c>
      <c r="D23" t="s">
        <v>137</v>
      </c>
      <c r="E23" t="s">
        <v>137</v>
      </c>
      <c r="F23">
        <v>0.9</v>
      </c>
      <c r="G23">
        <v>0.9</v>
      </c>
      <c r="H23">
        <v>5.0000000000000001E-3</v>
      </c>
      <c r="I23">
        <v>120</v>
      </c>
      <c r="J23">
        <v>42</v>
      </c>
      <c r="K23">
        <v>22.033151</v>
      </c>
      <c r="L23">
        <v>27.030949</v>
      </c>
      <c r="M23">
        <v>767.98</v>
      </c>
      <c r="N23" t="s">
        <v>137</v>
      </c>
      <c r="O23" t="s">
        <v>137</v>
      </c>
      <c r="P23">
        <v>6.1650000000000003E-3</v>
      </c>
      <c r="Q23">
        <v>8.4079770000000007</v>
      </c>
      <c r="R23">
        <v>8.414142</v>
      </c>
      <c r="S23">
        <v>13.619009</v>
      </c>
      <c r="T23" t="s">
        <v>137</v>
      </c>
      <c r="U23" t="s">
        <v>137</v>
      </c>
      <c r="V23" t="s">
        <v>137</v>
      </c>
      <c r="W23" t="s">
        <v>137</v>
      </c>
      <c r="X23" t="s">
        <v>137</v>
      </c>
      <c r="Y23">
        <v>38.19</v>
      </c>
      <c r="Z23">
        <v>61.81</v>
      </c>
      <c r="AA23" t="s">
        <v>137</v>
      </c>
      <c r="AB23" t="s">
        <v>137</v>
      </c>
      <c r="AC23" t="s">
        <v>137</v>
      </c>
      <c r="AD23" t="s">
        <v>137</v>
      </c>
      <c r="AE23" t="s">
        <v>137</v>
      </c>
    </row>
    <row r="24" spans="1:31" x14ac:dyDescent="0.3">
      <c r="A24" t="s">
        <v>28</v>
      </c>
      <c r="B24">
        <v>10</v>
      </c>
      <c r="C24" t="s">
        <v>137</v>
      </c>
      <c r="D24" t="s">
        <v>137</v>
      </c>
      <c r="E24" t="s">
        <v>137</v>
      </c>
      <c r="F24">
        <v>0.9</v>
      </c>
      <c r="G24">
        <v>0.9</v>
      </c>
      <c r="H24">
        <v>5.0000000000000001E-3</v>
      </c>
      <c r="I24">
        <v>120</v>
      </c>
      <c r="J24">
        <v>73</v>
      </c>
      <c r="K24">
        <v>13.788535</v>
      </c>
      <c r="L24">
        <v>21.275739999999999</v>
      </c>
      <c r="M24">
        <v>447.22</v>
      </c>
      <c r="N24" t="s">
        <v>137</v>
      </c>
      <c r="O24" t="s">
        <v>137</v>
      </c>
      <c r="P24">
        <v>6.3610000000000003E-3</v>
      </c>
      <c r="Q24">
        <v>6.215427</v>
      </c>
      <c r="R24">
        <v>6.2217890000000002</v>
      </c>
      <c r="S24">
        <v>7.5667470000000003</v>
      </c>
      <c r="T24" t="s">
        <v>137</v>
      </c>
      <c r="U24" t="s">
        <v>137</v>
      </c>
      <c r="V24" t="s">
        <v>137</v>
      </c>
      <c r="W24" t="s">
        <v>137</v>
      </c>
      <c r="X24" t="s">
        <v>137</v>
      </c>
      <c r="Y24">
        <v>45.12</v>
      </c>
      <c r="Z24">
        <v>54.88</v>
      </c>
      <c r="AA24" t="s">
        <v>137</v>
      </c>
      <c r="AB24" t="s">
        <v>137</v>
      </c>
      <c r="AC24" t="s">
        <v>137</v>
      </c>
      <c r="AD24" t="s">
        <v>137</v>
      </c>
      <c r="AE24" t="s">
        <v>137</v>
      </c>
    </row>
    <row r="25" spans="1:31" x14ac:dyDescent="0.3">
      <c r="A25" t="s">
        <v>29</v>
      </c>
      <c r="B25">
        <v>10</v>
      </c>
      <c r="C25" t="s">
        <v>137</v>
      </c>
      <c r="D25" t="s">
        <v>137</v>
      </c>
      <c r="E25" t="s">
        <v>137</v>
      </c>
      <c r="F25">
        <v>0.9</v>
      </c>
      <c r="G25">
        <v>0.9</v>
      </c>
      <c r="H25">
        <v>5.0000000000000001E-3</v>
      </c>
      <c r="I25">
        <v>120</v>
      </c>
      <c r="J25">
        <v>80</v>
      </c>
      <c r="K25">
        <v>12.637886999999999</v>
      </c>
      <c r="L25">
        <v>21.258557</v>
      </c>
      <c r="M25">
        <v>392.81</v>
      </c>
      <c r="N25" t="s">
        <v>137</v>
      </c>
      <c r="O25" t="s">
        <v>137</v>
      </c>
      <c r="P25">
        <v>6.4970000000000002E-3</v>
      </c>
      <c r="Q25">
        <v>5.6872749999999996</v>
      </c>
      <c r="R25">
        <v>5.6937720000000001</v>
      </c>
      <c r="S25">
        <v>6.944115</v>
      </c>
      <c r="T25" t="s">
        <v>137</v>
      </c>
      <c r="U25" t="s">
        <v>137</v>
      </c>
      <c r="V25" t="s">
        <v>137</v>
      </c>
      <c r="W25" t="s">
        <v>137</v>
      </c>
      <c r="X25" t="s">
        <v>137</v>
      </c>
      <c r="Y25">
        <v>45.05</v>
      </c>
      <c r="Z25">
        <v>54.95</v>
      </c>
      <c r="AA25" t="s">
        <v>137</v>
      </c>
      <c r="AB25" t="s">
        <v>137</v>
      </c>
      <c r="AC25" t="s">
        <v>137</v>
      </c>
      <c r="AD25" t="s">
        <v>137</v>
      </c>
      <c r="AE25" t="s">
        <v>137</v>
      </c>
    </row>
    <row r="26" spans="1:31" x14ac:dyDescent="0.3">
      <c r="A26" t="s">
        <v>30</v>
      </c>
      <c r="B26">
        <v>10</v>
      </c>
      <c r="C26" t="s">
        <v>137</v>
      </c>
      <c r="D26" t="s">
        <v>137</v>
      </c>
      <c r="E26" t="s">
        <v>137</v>
      </c>
      <c r="F26">
        <v>0.9</v>
      </c>
      <c r="G26">
        <v>0.9</v>
      </c>
      <c r="H26">
        <v>5.0000000000000001E-3</v>
      </c>
      <c r="I26">
        <v>120</v>
      </c>
      <c r="J26">
        <v>79</v>
      </c>
      <c r="K26">
        <v>14.245595</v>
      </c>
      <c r="L26">
        <v>22.011188000000001</v>
      </c>
      <c r="M26">
        <v>455.43</v>
      </c>
      <c r="N26" t="s">
        <v>137</v>
      </c>
      <c r="O26" t="s">
        <v>137</v>
      </c>
      <c r="P26">
        <v>5.8890000000000001E-3</v>
      </c>
      <c r="Q26">
        <v>6.5917589999999997</v>
      </c>
      <c r="R26">
        <v>6.5976480000000004</v>
      </c>
      <c r="S26">
        <v>7.6479470000000003</v>
      </c>
      <c r="T26" t="s">
        <v>137</v>
      </c>
      <c r="U26" t="s">
        <v>137</v>
      </c>
      <c r="V26" t="s">
        <v>137</v>
      </c>
      <c r="W26" t="s">
        <v>137</v>
      </c>
      <c r="X26" t="s">
        <v>137</v>
      </c>
      <c r="Y26">
        <v>46.31</v>
      </c>
      <c r="Z26">
        <v>53.69</v>
      </c>
      <c r="AA26" t="s">
        <v>137</v>
      </c>
      <c r="AB26" t="s">
        <v>137</v>
      </c>
      <c r="AC26" t="s">
        <v>137</v>
      </c>
      <c r="AD26" t="s">
        <v>137</v>
      </c>
      <c r="AE26" t="s">
        <v>137</v>
      </c>
    </row>
    <row r="27" spans="1:31" x14ac:dyDescent="0.3">
      <c r="A27" t="s">
        <v>31</v>
      </c>
      <c r="B27">
        <v>10</v>
      </c>
      <c r="C27" t="s">
        <v>137</v>
      </c>
      <c r="D27" t="s">
        <v>137</v>
      </c>
      <c r="E27" t="s">
        <v>137</v>
      </c>
      <c r="F27">
        <v>0.9</v>
      </c>
      <c r="G27">
        <v>0.9</v>
      </c>
      <c r="H27">
        <v>5.0000000000000001E-3</v>
      </c>
      <c r="I27">
        <v>120</v>
      </c>
      <c r="J27">
        <v>89</v>
      </c>
      <c r="K27">
        <v>10.727854000000001</v>
      </c>
      <c r="L27">
        <v>19.237801999999999</v>
      </c>
      <c r="M27">
        <v>345.06</v>
      </c>
      <c r="N27" t="s">
        <v>137</v>
      </c>
      <c r="O27" t="s">
        <v>137</v>
      </c>
      <c r="P27">
        <v>6.4700000000000001E-3</v>
      </c>
      <c r="Q27">
        <v>4.9417660000000003</v>
      </c>
      <c r="R27">
        <v>4.9482359999999996</v>
      </c>
      <c r="S27">
        <v>5.779617</v>
      </c>
      <c r="T27" t="s">
        <v>137</v>
      </c>
      <c r="U27" t="s">
        <v>137</v>
      </c>
      <c r="V27" t="s">
        <v>137</v>
      </c>
      <c r="W27" t="s">
        <v>137</v>
      </c>
      <c r="X27" t="s">
        <v>137</v>
      </c>
      <c r="Y27">
        <v>46.13</v>
      </c>
      <c r="Z27">
        <v>53.87</v>
      </c>
      <c r="AA27" t="s">
        <v>137</v>
      </c>
      <c r="AB27" t="s">
        <v>137</v>
      </c>
      <c r="AC27" t="s">
        <v>137</v>
      </c>
      <c r="AD27" t="s">
        <v>137</v>
      </c>
      <c r="AE27" t="s">
        <v>137</v>
      </c>
    </row>
    <row r="28" spans="1:31" x14ac:dyDescent="0.3">
      <c r="A28" t="s">
        <v>32</v>
      </c>
      <c r="B28">
        <v>10</v>
      </c>
      <c r="C28" t="s">
        <v>137</v>
      </c>
      <c r="D28" t="s">
        <v>137</v>
      </c>
      <c r="E28" t="s">
        <v>137</v>
      </c>
      <c r="F28">
        <v>0.9</v>
      </c>
      <c r="G28">
        <v>0.9</v>
      </c>
      <c r="H28">
        <v>5.0000000000000001E-3</v>
      </c>
      <c r="I28">
        <v>120</v>
      </c>
      <c r="J28">
        <v>86</v>
      </c>
      <c r="K28">
        <v>11.61355</v>
      </c>
      <c r="L28">
        <v>22.716239000000002</v>
      </c>
      <c r="M28">
        <v>374.64</v>
      </c>
      <c r="N28" t="s">
        <v>137</v>
      </c>
      <c r="O28" t="s">
        <v>137</v>
      </c>
      <c r="P28">
        <v>6.4190000000000002E-3</v>
      </c>
      <c r="Q28">
        <v>4.812157</v>
      </c>
      <c r="R28">
        <v>4.8185760000000002</v>
      </c>
      <c r="S28">
        <v>6.7949739999999998</v>
      </c>
      <c r="T28" t="s">
        <v>137</v>
      </c>
      <c r="U28" t="s">
        <v>137</v>
      </c>
      <c r="V28" t="s">
        <v>137</v>
      </c>
      <c r="W28" t="s">
        <v>137</v>
      </c>
      <c r="X28" t="s">
        <v>137</v>
      </c>
      <c r="Y28">
        <v>41.49</v>
      </c>
      <c r="Z28">
        <v>58.51</v>
      </c>
      <c r="AA28" t="s">
        <v>137</v>
      </c>
      <c r="AB28" t="s">
        <v>137</v>
      </c>
      <c r="AC28" t="s">
        <v>137</v>
      </c>
      <c r="AD28" t="s">
        <v>137</v>
      </c>
      <c r="AE28" t="s">
        <v>137</v>
      </c>
    </row>
    <row r="29" spans="1:31" x14ac:dyDescent="0.3">
      <c r="A29" t="s">
        <v>33</v>
      </c>
      <c r="B29">
        <v>10</v>
      </c>
      <c r="C29" t="s">
        <v>137</v>
      </c>
      <c r="D29" t="s">
        <v>137</v>
      </c>
      <c r="E29" t="s">
        <v>137</v>
      </c>
      <c r="F29">
        <v>0.9</v>
      </c>
      <c r="G29">
        <v>0.9</v>
      </c>
      <c r="H29">
        <v>5.0000000000000001E-3</v>
      </c>
      <c r="I29">
        <v>120</v>
      </c>
      <c r="J29">
        <v>33</v>
      </c>
      <c r="K29">
        <v>21.694077</v>
      </c>
      <c r="L29">
        <v>23.046937</v>
      </c>
      <c r="M29">
        <v>702.18</v>
      </c>
      <c r="N29" t="s">
        <v>137</v>
      </c>
      <c r="O29" t="s">
        <v>137</v>
      </c>
      <c r="P29">
        <v>6.7019999999999996E-3</v>
      </c>
      <c r="Q29">
        <v>9.0616959999999995</v>
      </c>
      <c r="R29">
        <v>9.0683980000000002</v>
      </c>
      <c r="S29">
        <v>12.625678000000001</v>
      </c>
      <c r="T29" t="s">
        <v>137</v>
      </c>
      <c r="U29" t="s">
        <v>137</v>
      </c>
      <c r="V29" t="s">
        <v>137</v>
      </c>
      <c r="W29" t="s">
        <v>137</v>
      </c>
      <c r="X29" t="s">
        <v>137</v>
      </c>
      <c r="Y29">
        <v>41.8</v>
      </c>
      <c r="Z29">
        <v>58.2</v>
      </c>
      <c r="AA29" t="s">
        <v>137</v>
      </c>
      <c r="AB29" t="s">
        <v>137</v>
      </c>
      <c r="AC29" t="s">
        <v>137</v>
      </c>
      <c r="AD29" t="s">
        <v>137</v>
      </c>
      <c r="AE29" t="s">
        <v>137</v>
      </c>
    </row>
    <row r="30" spans="1:31" x14ac:dyDescent="0.3">
      <c r="A30" t="s">
        <v>34</v>
      </c>
      <c r="B30">
        <v>10</v>
      </c>
      <c r="C30" t="s">
        <v>137</v>
      </c>
      <c r="D30" t="s">
        <v>137</v>
      </c>
      <c r="E30" t="s">
        <v>137</v>
      </c>
      <c r="F30">
        <v>0.9</v>
      </c>
      <c r="G30">
        <v>0.9</v>
      </c>
      <c r="H30">
        <v>5.0000000000000001E-3</v>
      </c>
      <c r="I30">
        <v>120</v>
      </c>
      <c r="J30">
        <v>44</v>
      </c>
      <c r="K30">
        <v>23.468062</v>
      </c>
      <c r="L30">
        <v>33.387318999999998</v>
      </c>
      <c r="M30">
        <v>823.48</v>
      </c>
      <c r="N30" t="s">
        <v>137</v>
      </c>
      <c r="O30" t="s">
        <v>137</v>
      </c>
      <c r="P30">
        <v>6.0769999999999999E-3</v>
      </c>
      <c r="Q30">
        <v>7.2876859999999999</v>
      </c>
      <c r="R30">
        <v>7.2937630000000002</v>
      </c>
      <c r="S30">
        <v>16.174299000000001</v>
      </c>
      <c r="T30" t="s">
        <v>137</v>
      </c>
      <c r="U30" t="s">
        <v>137</v>
      </c>
      <c r="V30" t="s">
        <v>137</v>
      </c>
      <c r="W30" t="s">
        <v>137</v>
      </c>
      <c r="X30" t="s">
        <v>137</v>
      </c>
      <c r="Y30">
        <v>31.08</v>
      </c>
      <c r="Z30">
        <v>68.92</v>
      </c>
      <c r="AA30" t="s">
        <v>137</v>
      </c>
      <c r="AB30" t="s">
        <v>137</v>
      </c>
      <c r="AC30" t="s">
        <v>137</v>
      </c>
      <c r="AD30" t="s">
        <v>137</v>
      </c>
      <c r="AE30" t="s">
        <v>137</v>
      </c>
    </row>
    <row r="31" spans="1:31" x14ac:dyDescent="0.3">
      <c r="A31" t="s">
        <v>35</v>
      </c>
      <c r="B31">
        <v>10</v>
      </c>
      <c r="C31" t="s">
        <v>137</v>
      </c>
      <c r="D31" t="s">
        <v>137</v>
      </c>
      <c r="E31" t="s">
        <v>137</v>
      </c>
      <c r="F31">
        <v>0.9</v>
      </c>
      <c r="G31">
        <v>0.9</v>
      </c>
      <c r="H31">
        <v>5.0000000000000001E-3</v>
      </c>
      <c r="I31">
        <v>120</v>
      </c>
      <c r="J31">
        <v>71</v>
      </c>
      <c r="K31">
        <v>14.189844000000001</v>
      </c>
      <c r="L31">
        <v>21.782627000000002</v>
      </c>
      <c r="M31">
        <v>471.42</v>
      </c>
      <c r="N31" t="s">
        <v>137</v>
      </c>
      <c r="O31" t="s">
        <v>137</v>
      </c>
      <c r="P31">
        <v>5.9379999999999997E-3</v>
      </c>
      <c r="Q31">
        <v>6.1074510000000002</v>
      </c>
      <c r="R31">
        <v>6.1133889999999997</v>
      </c>
      <c r="S31">
        <v>8.0764549999999993</v>
      </c>
      <c r="T31" t="s">
        <v>137</v>
      </c>
      <c r="U31" t="s">
        <v>137</v>
      </c>
      <c r="V31" t="s">
        <v>137</v>
      </c>
      <c r="W31" t="s">
        <v>137</v>
      </c>
      <c r="X31" t="s">
        <v>137</v>
      </c>
      <c r="Y31">
        <v>43.08</v>
      </c>
      <c r="Z31">
        <v>56.92</v>
      </c>
      <c r="AA31" t="s">
        <v>137</v>
      </c>
      <c r="AB31" t="s">
        <v>137</v>
      </c>
      <c r="AC31" t="s">
        <v>137</v>
      </c>
      <c r="AD31" t="s">
        <v>137</v>
      </c>
      <c r="AE31" t="s">
        <v>137</v>
      </c>
    </row>
    <row r="32" spans="1:31" x14ac:dyDescent="0.3">
      <c r="A32" t="s">
        <v>36</v>
      </c>
      <c r="B32">
        <v>10</v>
      </c>
      <c r="C32" t="s">
        <v>137</v>
      </c>
      <c r="D32" t="s">
        <v>137</v>
      </c>
      <c r="E32" t="s">
        <v>137</v>
      </c>
      <c r="F32">
        <v>0.9</v>
      </c>
      <c r="G32">
        <v>0.9</v>
      </c>
      <c r="H32">
        <v>5.0000000000000001E-3</v>
      </c>
      <c r="I32">
        <v>120</v>
      </c>
      <c r="J32">
        <v>73</v>
      </c>
      <c r="K32">
        <v>14.186731999999999</v>
      </c>
      <c r="L32">
        <v>20.309449999999998</v>
      </c>
      <c r="M32">
        <v>467.11</v>
      </c>
      <c r="N32" t="s">
        <v>137</v>
      </c>
      <c r="O32" t="s">
        <v>137</v>
      </c>
      <c r="P32">
        <v>6.1799999999999997E-3</v>
      </c>
      <c r="Q32">
        <v>6.6461170000000003</v>
      </c>
      <c r="R32">
        <v>6.652298</v>
      </c>
      <c r="S32">
        <v>7.5344350000000002</v>
      </c>
      <c r="T32" t="s">
        <v>137</v>
      </c>
      <c r="U32" t="s">
        <v>137</v>
      </c>
      <c r="V32" t="s">
        <v>137</v>
      </c>
      <c r="W32" t="s">
        <v>137</v>
      </c>
      <c r="X32" t="s">
        <v>137</v>
      </c>
      <c r="Y32">
        <v>46.89</v>
      </c>
      <c r="Z32">
        <v>53.11</v>
      </c>
      <c r="AA32" t="s">
        <v>137</v>
      </c>
      <c r="AB32" t="s">
        <v>137</v>
      </c>
      <c r="AC32" t="s">
        <v>137</v>
      </c>
      <c r="AD32" t="s">
        <v>137</v>
      </c>
      <c r="AE32" t="s">
        <v>137</v>
      </c>
    </row>
    <row r="33" spans="1:31" x14ac:dyDescent="0.3">
      <c r="A33" t="s">
        <v>37</v>
      </c>
      <c r="B33">
        <v>10</v>
      </c>
      <c r="C33" t="s">
        <v>137</v>
      </c>
      <c r="D33" t="s">
        <v>137</v>
      </c>
      <c r="E33" t="s">
        <v>137</v>
      </c>
      <c r="F33">
        <v>0.9</v>
      </c>
      <c r="G33">
        <v>0.9</v>
      </c>
      <c r="H33">
        <v>5.0000000000000001E-3</v>
      </c>
      <c r="I33">
        <v>120</v>
      </c>
      <c r="J33">
        <v>69</v>
      </c>
      <c r="K33">
        <v>15.680948000000001</v>
      </c>
      <c r="L33">
        <v>24.374891999999999</v>
      </c>
      <c r="M33">
        <v>554.74</v>
      </c>
      <c r="N33" t="s">
        <v>137</v>
      </c>
      <c r="O33" t="s">
        <v>137</v>
      </c>
      <c r="P33">
        <v>6.0650000000000001E-3</v>
      </c>
      <c r="Q33">
        <v>6.5677830000000004</v>
      </c>
      <c r="R33">
        <v>6.5738479999999999</v>
      </c>
      <c r="S33">
        <v>9.1071000000000009</v>
      </c>
      <c r="T33" t="s">
        <v>137</v>
      </c>
      <c r="U33" t="s">
        <v>137</v>
      </c>
      <c r="V33" t="s">
        <v>137</v>
      </c>
      <c r="W33" t="s">
        <v>137</v>
      </c>
      <c r="X33" t="s">
        <v>137</v>
      </c>
      <c r="Y33">
        <v>41.92</v>
      </c>
      <c r="Z33">
        <v>58.08</v>
      </c>
      <c r="AA33" t="s">
        <v>137</v>
      </c>
      <c r="AB33" t="s">
        <v>137</v>
      </c>
      <c r="AC33" t="s">
        <v>137</v>
      </c>
      <c r="AD33" t="s">
        <v>137</v>
      </c>
      <c r="AE33" t="s">
        <v>137</v>
      </c>
    </row>
    <row r="34" spans="1:31" x14ac:dyDescent="0.3">
      <c r="A34" t="s">
        <v>38</v>
      </c>
      <c r="B34">
        <v>10</v>
      </c>
      <c r="C34" t="s">
        <v>137</v>
      </c>
      <c r="D34" t="s">
        <v>137</v>
      </c>
      <c r="E34" t="s">
        <v>137</v>
      </c>
      <c r="F34">
        <v>0.9</v>
      </c>
      <c r="G34">
        <v>0.9</v>
      </c>
      <c r="H34">
        <v>5.0000000000000001E-3</v>
      </c>
      <c r="I34">
        <v>120</v>
      </c>
      <c r="J34">
        <v>95</v>
      </c>
      <c r="K34">
        <v>6.1248209999999998</v>
      </c>
      <c r="L34">
        <v>13.516545000000001</v>
      </c>
      <c r="M34">
        <v>193.2</v>
      </c>
      <c r="N34" t="s">
        <v>137</v>
      </c>
      <c r="O34" t="s">
        <v>137</v>
      </c>
      <c r="P34">
        <v>6.5129999999999997E-3</v>
      </c>
      <c r="Q34">
        <v>3.1647319999999999</v>
      </c>
      <c r="R34">
        <v>3.1712449999999999</v>
      </c>
      <c r="S34">
        <v>2.953576</v>
      </c>
      <c r="T34" t="s">
        <v>137</v>
      </c>
      <c r="U34" t="s">
        <v>137</v>
      </c>
      <c r="V34" t="s">
        <v>137</v>
      </c>
      <c r="W34" t="s">
        <v>137</v>
      </c>
      <c r="X34" t="s">
        <v>137</v>
      </c>
      <c r="Y34">
        <v>51.78</v>
      </c>
      <c r="Z34">
        <v>48.22</v>
      </c>
      <c r="AA34" t="s">
        <v>137</v>
      </c>
      <c r="AB34" t="s">
        <v>137</v>
      </c>
      <c r="AC34" t="s">
        <v>137</v>
      </c>
      <c r="AD34" t="s">
        <v>137</v>
      </c>
      <c r="AE34" t="s">
        <v>137</v>
      </c>
    </row>
    <row r="35" spans="1:31" x14ac:dyDescent="0.3">
      <c r="A35" t="s">
        <v>39</v>
      </c>
      <c r="B35">
        <v>10</v>
      </c>
      <c r="C35" t="s">
        <v>137</v>
      </c>
      <c r="D35" t="s">
        <v>137</v>
      </c>
      <c r="E35" t="s">
        <v>137</v>
      </c>
      <c r="F35">
        <v>0.9</v>
      </c>
      <c r="G35">
        <v>0.9</v>
      </c>
      <c r="H35">
        <v>5.0000000000000001E-3</v>
      </c>
      <c r="I35">
        <v>120</v>
      </c>
      <c r="J35">
        <v>79</v>
      </c>
      <c r="K35">
        <v>10.436512</v>
      </c>
      <c r="L35">
        <v>13.103006000000001</v>
      </c>
      <c r="M35">
        <v>327.25</v>
      </c>
      <c r="N35" t="s">
        <v>137</v>
      </c>
      <c r="O35" t="s">
        <v>137</v>
      </c>
      <c r="P35">
        <v>6.5469999999999999E-3</v>
      </c>
      <c r="Q35">
        <v>5.8961410000000001</v>
      </c>
      <c r="R35">
        <v>5.9026880000000004</v>
      </c>
      <c r="S35">
        <v>4.5338240000000001</v>
      </c>
      <c r="T35" t="s">
        <v>137</v>
      </c>
      <c r="U35" t="s">
        <v>137</v>
      </c>
      <c r="V35" t="s">
        <v>137</v>
      </c>
      <c r="W35" t="s">
        <v>137</v>
      </c>
      <c r="X35" t="s">
        <v>137</v>
      </c>
      <c r="Y35">
        <v>56.56</v>
      </c>
      <c r="Z35">
        <v>43.44</v>
      </c>
      <c r="AA35" t="s">
        <v>137</v>
      </c>
      <c r="AB35" t="s">
        <v>137</v>
      </c>
      <c r="AC35" t="s">
        <v>137</v>
      </c>
      <c r="AD35" t="s">
        <v>137</v>
      </c>
      <c r="AE35" t="s">
        <v>137</v>
      </c>
    </row>
    <row r="36" spans="1:31" x14ac:dyDescent="0.3">
      <c r="A36" t="s">
        <v>40</v>
      </c>
      <c r="B36">
        <v>10</v>
      </c>
      <c r="C36" t="s">
        <v>137</v>
      </c>
      <c r="D36" t="s">
        <v>137</v>
      </c>
      <c r="E36" t="s">
        <v>137</v>
      </c>
      <c r="F36">
        <v>0.9</v>
      </c>
      <c r="G36">
        <v>0.9</v>
      </c>
      <c r="H36">
        <v>5.0000000000000001E-3</v>
      </c>
      <c r="I36">
        <v>120</v>
      </c>
      <c r="J36">
        <v>34</v>
      </c>
      <c r="K36">
        <v>15.881072</v>
      </c>
      <c r="L36">
        <v>20.305793000000001</v>
      </c>
      <c r="M36">
        <v>506.97</v>
      </c>
      <c r="N36" t="s">
        <v>137</v>
      </c>
      <c r="O36" t="s">
        <v>137</v>
      </c>
      <c r="P36">
        <v>7.0359999999999997E-3</v>
      </c>
      <c r="Q36">
        <v>8.3725109999999994</v>
      </c>
      <c r="R36">
        <v>8.3795470000000005</v>
      </c>
      <c r="S36">
        <v>7.5015260000000001</v>
      </c>
      <c r="T36" t="s">
        <v>137</v>
      </c>
      <c r="U36" t="s">
        <v>137</v>
      </c>
      <c r="V36" t="s">
        <v>137</v>
      </c>
      <c r="W36" t="s">
        <v>137</v>
      </c>
      <c r="X36" t="s">
        <v>137</v>
      </c>
      <c r="Y36">
        <v>52.76</v>
      </c>
      <c r="Z36">
        <v>47.24</v>
      </c>
      <c r="AA36" t="s">
        <v>137</v>
      </c>
      <c r="AB36" t="s">
        <v>137</v>
      </c>
      <c r="AC36" t="s">
        <v>137</v>
      </c>
      <c r="AD36" t="s">
        <v>137</v>
      </c>
      <c r="AE36" t="s">
        <v>137</v>
      </c>
    </row>
    <row r="37" spans="1:31" x14ac:dyDescent="0.3">
      <c r="A37" t="s">
        <v>41</v>
      </c>
      <c r="B37">
        <v>10</v>
      </c>
      <c r="C37" t="s">
        <v>137</v>
      </c>
      <c r="D37" t="s">
        <v>137</v>
      </c>
      <c r="E37" t="s">
        <v>137</v>
      </c>
      <c r="F37">
        <v>0.9</v>
      </c>
      <c r="G37">
        <v>0.9</v>
      </c>
      <c r="H37">
        <v>5.0000000000000001E-3</v>
      </c>
      <c r="I37">
        <v>120</v>
      </c>
      <c r="J37">
        <v>95</v>
      </c>
      <c r="K37">
        <v>7.2033940000000003</v>
      </c>
      <c r="L37">
        <v>15.932862999999999</v>
      </c>
      <c r="M37">
        <v>275.36</v>
      </c>
      <c r="N37" t="s">
        <v>137</v>
      </c>
      <c r="O37" t="s">
        <v>137</v>
      </c>
      <c r="P37">
        <v>5.4130000000000003E-3</v>
      </c>
      <c r="Q37">
        <v>3.5697489999999998</v>
      </c>
      <c r="R37">
        <v>3.5751620000000002</v>
      </c>
      <c r="S37">
        <v>3.6282320000000001</v>
      </c>
      <c r="T37" t="s">
        <v>137</v>
      </c>
      <c r="U37" t="s">
        <v>137</v>
      </c>
      <c r="V37" t="s">
        <v>137</v>
      </c>
      <c r="W37" t="s">
        <v>137</v>
      </c>
      <c r="X37" t="s">
        <v>137</v>
      </c>
      <c r="Y37">
        <v>49.63</v>
      </c>
      <c r="Z37">
        <v>50.37</v>
      </c>
      <c r="AA37" t="s">
        <v>137</v>
      </c>
      <c r="AB37" t="s">
        <v>137</v>
      </c>
      <c r="AC37" t="s">
        <v>137</v>
      </c>
      <c r="AD37" t="s">
        <v>137</v>
      </c>
      <c r="AE37" t="s">
        <v>137</v>
      </c>
    </row>
    <row r="38" spans="1:31" x14ac:dyDescent="0.3">
      <c r="A38" t="s">
        <v>42</v>
      </c>
      <c r="B38">
        <v>10</v>
      </c>
      <c r="C38" t="s">
        <v>137</v>
      </c>
      <c r="D38" t="s">
        <v>137</v>
      </c>
      <c r="E38" t="s">
        <v>137</v>
      </c>
      <c r="F38">
        <v>0.9</v>
      </c>
      <c r="G38">
        <v>0.9</v>
      </c>
      <c r="H38">
        <v>5.0000000000000001E-3</v>
      </c>
      <c r="I38">
        <v>120</v>
      </c>
      <c r="J38">
        <v>89</v>
      </c>
      <c r="K38">
        <v>5.7632649999999996</v>
      </c>
      <c r="L38">
        <v>9.4403260000000007</v>
      </c>
      <c r="M38">
        <v>228.81</v>
      </c>
      <c r="N38" t="s">
        <v>137</v>
      </c>
      <c r="O38" t="s">
        <v>137</v>
      </c>
      <c r="P38">
        <v>6.4209999999999996E-3</v>
      </c>
      <c r="Q38">
        <v>3.3694259999999998</v>
      </c>
      <c r="R38">
        <v>3.3758469999999998</v>
      </c>
      <c r="S38">
        <v>2.3874170000000001</v>
      </c>
      <c r="T38" t="s">
        <v>137</v>
      </c>
      <c r="U38" t="s">
        <v>137</v>
      </c>
      <c r="V38" t="s">
        <v>137</v>
      </c>
      <c r="W38" t="s">
        <v>137</v>
      </c>
      <c r="X38" t="s">
        <v>137</v>
      </c>
      <c r="Y38">
        <v>58.58</v>
      </c>
      <c r="Z38">
        <v>41.42</v>
      </c>
      <c r="AA38" t="s">
        <v>137</v>
      </c>
      <c r="AB38" t="s">
        <v>137</v>
      </c>
      <c r="AC38" t="s">
        <v>137</v>
      </c>
      <c r="AD38" t="s">
        <v>137</v>
      </c>
      <c r="AE38" t="s">
        <v>137</v>
      </c>
    </row>
    <row r="39" spans="1:31" x14ac:dyDescent="0.3">
      <c r="A39" t="s">
        <v>43</v>
      </c>
      <c r="B39">
        <v>10</v>
      </c>
      <c r="C39" t="s">
        <v>137</v>
      </c>
      <c r="D39" t="s">
        <v>137</v>
      </c>
      <c r="E39" t="s">
        <v>137</v>
      </c>
      <c r="F39">
        <v>0.9</v>
      </c>
      <c r="G39">
        <v>0.9</v>
      </c>
      <c r="H39">
        <v>5.0000000000000001E-3</v>
      </c>
      <c r="I39">
        <v>120</v>
      </c>
      <c r="J39">
        <v>94</v>
      </c>
      <c r="K39">
        <v>5.8907470000000002</v>
      </c>
      <c r="L39">
        <v>11.834349</v>
      </c>
      <c r="M39">
        <v>184.02</v>
      </c>
      <c r="N39" t="s">
        <v>137</v>
      </c>
      <c r="O39" t="s">
        <v>137</v>
      </c>
      <c r="P39">
        <v>6.535E-3</v>
      </c>
      <c r="Q39">
        <v>3.243741</v>
      </c>
      <c r="R39">
        <v>3.2502759999999999</v>
      </c>
      <c r="S39">
        <v>2.6404709999999998</v>
      </c>
      <c r="T39" t="s">
        <v>137</v>
      </c>
      <c r="U39" t="s">
        <v>137</v>
      </c>
      <c r="V39" t="s">
        <v>137</v>
      </c>
      <c r="W39" t="s">
        <v>137</v>
      </c>
      <c r="X39" t="s">
        <v>137</v>
      </c>
      <c r="Y39">
        <v>55.18</v>
      </c>
      <c r="Z39">
        <v>44.82</v>
      </c>
      <c r="AA39" t="s">
        <v>137</v>
      </c>
      <c r="AB39" t="s">
        <v>137</v>
      </c>
      <c r="AC39" t="s">
        <v>137</v>
      </c>
      <c r="AD39" t="s">
        <v>137</v>
      </c>
      <c r="AE39" t="s">
        <v>137</v>
      </c>
    </row>
    <row r="40" spans="1:31" x14ac:dyDescent="0.3">
      <c r="A40" t="s">
        <v>44</v>
      </c>
      <c r="B40">
        <v>10</v>
      </c>
      <c r="C40" t="s">
        <v>137</v>
      </c>
      <c r="D40" t="s">
        <v>137</v>
      </c>
      <c r="E40" t="s">
        <v>137</v>
      </c>
      <c r="F40">
        <v>0.9</v>
      </c>
      <c r="G40">
        <v>0.9</v>
      </c>
      <c r="H40">
        <v>5.0000000000000001E-3</v>
      </c>
      <c r="I40">
        <v>120</v>
      </c>
      <c r="J40">
        <v>71</v>
      </c>
      <c r="K40">
        <v>11.696819</v>
      </c>
      <c r="L40">
        <v>19.195988</v>
      </c>
      <c r="M40">
        <v>365.3</v>
      </c>
      <c r="N40" t="s">
        <v>137</v>
      </c>
      <c r="O40" t="s">
        <v>137</v>
      </c>
      <c r="P40">
        <v>6.45E-3</v>
      </c>
      <c r="Q40">
        <v>5.5167080000000004</v>
      </c>
      <c r="R40">
        <v>5.5231589999999997</v>
      </c>
      <c r="S40">
        <v>6.1736610000000001</v>
      </c>
      <c r="T40" t="s">
        <v>137</v>
      </c>
      <c r="U40" t="s">
        <v>137</v>
      </c>
      <c r="V40" t="s">
        <v>137</v>
      </c>
      <c r="W40" t="s">
        <v>137</v>
      </c>
      <c r="X40" t="s">
        <v>137</v>
      </c>
      <c r="Y40">
        <v>47.22</v>
      </c>
      <c r="Z40">
        <v>52.78</v>
      </c>
      <c r="AA40" t="s">
        <v>137</v>
      </c>
      <c r="AB40" t="s">
        <v>137</v>
      </c>
      <c r="AC40" t="s">
        <v>137</v>
      </c>
      <c r="AD40" t="s">
        <v>137</v>
      </c>
      <c r="AE40" t="s">
        <v>137</v>
      </c>
    </row>
    <row r="41" spans="1:31" x14ac:dyDescent="0.3">
      <c r="A41" t="s">
        <v>45</v>
      </c>
      <c r="B41">
        <v>10</v>
      </c>
      <c r="C41" t="s">
        <v>137</v>
      </c>
      <c r="D41" t="s">
        <v>137</v>
      </c>
      <c r="E41" t="s">
        <v>137</v>
      </c>
      <c r="F41">
        <v>0.9</v>
      </c>
      <c r="G41">
        <v>0.9</v>
      </c>
      <c r="H41">
        <v>5.0000000000000001E-3</v>
      </c>
      <c r="I41">
        <v>120</v>
      </c>
      <c r="J41">
        <v>73</v>
      </c>
      <c r="K41">
        <v>11.808764999999999</v>
      </c>
      <c r="L41">
        <v>19.824708999999999</v>
      </c>
      <c r="M41">
        <v>380.75</v>
      </c>
      <c r="N41" t="s">
        <v>137</v>
      </c>
      <c r="O41" t="s">
        <v>137</v>
      </c>
      <c r="P41">
        <v>6.4859999999999996E-3</v>
      </c>
      <c r="Q41">
        <v>5.4209829999999997</v>
      </c>
      <c r="R41">
        <v>5.4274690000000003</v>
      </c>
      <c r="S41">
        <v>6.3812959999999999</v>
      </c>
      <c r="T41" t="s">
        <v>137</v>
      </c>
      <c r="U41" t="s">
        <v>137</v>
      </c>
      <c r="V41" t="s">
        <v>137</v>
      </c>
      <c r="W41" t="s">
        <v>137</v>
      </c>
      <c r="X41" t="s">
        <v>137</v>
      </c>
      <c r="Y41">
        <v>45.96</v>
      </c>
      <c r="Z41">
        <v>54.04</v>
      </c>
      <c r="AA41" t="s">
        <v>137</v>
      </c>
      <c r="AB41" t="s">
        <v>137</v>
      </c>
      <c r="AC41" t="s">
        <v>137</v>
      </c>
      <c r="AD41" t="s">
        <v>137</v>
      </c>
      <c r="AE41" t="s">
        <v>137</v>
      </c>
    </row>
    <row r="42" spans="1:31" x14ac:dyDescent="0.3">
      <c r="A42" t="s">
        <v>46</v>
      </c>
      <c r="B42">
        <v>10</v>
      </c>
      <c r="C42" t="s">
        <v>137</v>
      </c>
      <c r="D42" t="s">
        <v>137</v>
      </c>
      <c r="E42" t="s">
        <v>137</v>
      </c>
      <c r="F42">
        <v>0.9</v>
      </c>
      <c r="G42">
        <v>0.9</v>
      </c>
      <c r="H42">
        <v>5.0000000000000001E-3</v>
      </c>
      <c r="I42">
        <v>120</v>
      </c>
      <c r="J42">
        <v>65</v>
      </c>
      <c r="K42">
        <v>18.090098000000001</v>
      </c>
      <c r="L42">
        <v>25.882778999999999</v>
      </c>
      <c r="M42">
        <v>605.41999999999996</v>
      </c>
      <c r="N42" t="s">
        <v>137</v>
      </c>
      <c r="O42" t="s">
        <v>137</v>
      </c>
      <c r="P42">
        <v>6.3499999999999997E-3</v>
      </c>
      <c r="Q42">
        <v>7.4025590000000001</v>
      </c>
      <c r="R42">
        <v>7.4089080000000003</v>
      </c>
      <c r="S42">
        <v>10.681190000000001</v>
      </c>
      <c r="T42" t="s">
        <v>137</v>
      </c>
      <c r="U42" t="s">
        <v>137</v>
      </c>
      <c r="V42" t="s">
        <v>137</v>
      </c>
      <c r="W42" t="s">
        <v>137</v>
      </c>
      <c r="X42" t="s">
        <v>137</v>
      </c>
      <c r="Y42">
        <v>40.96</v>
      </c>
      <c r="Z42">
        <v>59.04</v>
      </c>
      <c r="AA42" t="s">
        <v>137</v>
      </c>
      <c r="AB42" t="s">
        <v>137</v>
      </c>
      <c r="AC42" t="s">
        <v>137</v>
      </c>
      <c r="AD42" t="s">
        <v>137</v>
      </c>
      <c r="AE42" t="s">
        <v>137</v>
      </c>
    </row>
    <row r="43" spans="1:31" x14ac:dyDescent="0.3">
      <c r="A43" t="s">
        <v>47</v>
      </c>
      <c r="B43">
        <v>10</v>
      </c>
      <c r="C43" t="s">
        <v>137</v>
      </c>
      <c r="D43" t="s">
        <v>137</v>
      </c>
      <c r="E43" t="s">
        <v>137</v>
      </c>
      <c r="F43">
        <v>0.9</v>
      </c>
      <c r="G43">
        <v>0.9</v>
      </c>
      <c r="H43">
        <v>5.0000000000000001E-3</v>
      </c>
      <c r="I43">
        <v>120</v>
      </c>
      <c r="J43">
        <v>69</v>
      </c>
      <c r="K43">
        <v>15.829314999999999</v>
      </c>
      <c r="L43">
        <v>25.067218</v>
      </c>
      <c r="M43">
        <v>620.92999999999995</v>
      </c>
      <c r="N43" t="s">
        <v>137</v>
      </c>
      <c r="O43" t="s">
        <v>137</v>
      </c>
      <c r="P43">
        <v>6.0480000000000004E-3</v>
      </c>
      <c r="Q43">
        <v>6.2891940000000002</v>
      </c>
      <c r="R43">
        <v>6.295242</v>
      </c>
      <c r="S43">
        <v>9.5340740000000004</v>
      </c>
      <c r="T43" t="s">
        <v>137</v>
      </c>
      <c r="U43" t="s">
        <v>137</v>
      </c>
      <c r="V43" t="s">
        <v>137</v>
      </c>
      <c r="W43" t="s">
        <v>137</v>
      </c>
      <c r="X43" t="s">
        <v>137</v>
      </c>
      <c r="Y43">
        <v>39.770000000000003</v>
      </c>
      <c r="Z43">
        <v>60.23</v>
      </c>
      <c r="AA43" t="s">
        <v>137</v>
      </c>
      <c r="AB43" t="s">
        <v>137</v>
      </c>
      <c r="AC43" t="s">
        <v>137</v>
      </c>
      <c r="AD43" t="s">
        <v>137</v>
      </c>
      <c r="AE43" t="s">
        <v>137</v>
      </c>
    </row>
    <row r="44" spans="1:31" x14ac:dyDescent="0.3">
      <c r="A44" t="s">
        <v>48</v>
      </c>
      <c r="B44">
        <v>10</v>
      </c>
      <c r="C44" t="s">
        <v>137</v>
      </c>
      <c r="D44" t="s">
        <v>137</v>
      </c>
      <c r="E44" t="s">
        <v>137</v>
      </c>
      <c r="F44">
        <v>0.9</v>
      </c>
      <c r="G44">
        <v>0.9</v>
      </c>
      <c r="H44">
        <v>5.0000000000000001E-3</v>
      </c>
      <c r="I44">
        <v>120</v>
      </c>
      <c r="J44">
        <v>86</v>
      </c>
      <c r="K44">
        <v>10.367687999999999</v>
      </c>
      <c r="L44">
        <v>18.868814</v>
      </c>
      <c r="M44">
        <v>380.02</v>
      </c>
      <c r="N44" t="s">
        <v>137</v>
      </c>
      <c r="O44" t="s">
        <v>137</v>
      </c>
      <c r="P44">
        <v>5.9560000000000004E-3</v>
      </c>
      <c r="Q44">
        <v>4.6545750000000004</v>
      </c>
      <c r="R44">
        <v>4.6605309999999998</v>
      </c>
      <c r="S44">
        <v>5.7071569999999996</v>
      </c>
      <c r="T44" t="s">
        <v>137</v>
      </c>
      <c r="U44" t="s">
        <v>137</v>
      </c>
      <c r="V44" t="s">
        <v>137</v>
      </c>
      <c r="W44" t="s">
        <v>137</v>
      </c>
      <c r="X44" t="s">
        <v>137</v>
      </c>
      <c r="Y44">
        <v>44.95</v>
      </c>
      <c r="Z44">
        <v>55.05</v>
      </c>
      <c r="AA44" t="s">
        <v>137</v>
      </c>
      <c r="AB44" t="s">
        <v>137</v>
      </c>
      <c r="AC44" t="s">
        <v>137</v>
      </c>
      <c r="AD44" t="s">
        <v>137</v>
      </c>
      <c r="AE44" t="s">
        <v>137</v>
      </c>
    </row>
    <row r="45" spans="1:31" x14ac:dyDescent="0.3">
      <c r="A45" t="s">
        <v>49</v>
      </c>
      <c r="B45">
        <v>10</v>
      </c>
      <c r="C45" t="s">
        <v>137</v>
      </c>
      <c r="D45" t="s">
        <v>137</v>
      </c>
      <c r="E45" t="s">
        <v>137</v>
      </c>
      <c r="F45">
        <v>0.9</v>
      </c>
      <c r="G45">
        <v>0.9</v>
      </c>
      <c r="H45">
        <v>5.0000000000000001E-3</v>
      </c>
      <c r="I45">
        <v>120</v>
      </c>
      <c r="J45">
        <v>71</v>
      </c>
      <c r="K45">
        <v>14.926876999999999</v>
      </c>
      <c r="L45">
        <v>21.443124000000001</v>
      </c>
      <c r="M45">
        <v>515.99</v>
      </c>
      <c r="N45" t="s">
        <v>137</v>
      </c>
      <c r="O45" t="s">
        <v>137</v>
      </c>
      <c r="P45">
        <v>6.0920000000000002E-3</v>
      </c>
      <c r="Q45">
        <v>6.5965249999999997</v>
      </c>
      <c r="R45">
        <v>6.6026170000000004</v>
      </c>
      <c r="S45">
        <v>8.3242600000000007</v>
      </c>
      <c r="T45" t="s">
        <v>137</v>
      </c>
      <c r="U45" t="s">
        <v>137</v>
      </c>
      <c r="V45" t="s">
        <v>137</v>
      </c>
      <c r="W45" t="s">
        <v>137</v>
      </c>
      <c r="X45" t="s">
        <v>137</v>
      </c>
      <c r="Y45">
        <v>44.23</v>
      </c>
      <c r="Z45">
        <v>55.77</v>
      </c>
      <c r="AA45" t="s">
        <v>137</v>
      </c>
      <c r="AB45" t="s">
        <v>137</v>
      </c>
      <c r="AC45" t="s">
        <v>137</v>
      </c>
      <c r="AD45" t="s">
        <v>137</v>
      </c>
      <c r="AE45" t="s">
        <v>137</v>
      </c>
    </row>
    <row r="46" spans="1:31" x14ac:dyDescent="0.3">
      <c r="A46" t="s">
        <v>50</v>
      </c>
      <c r="B46">
        <v>10</v>
      </c>
      <c r="C46" t="s">
        <v>137</v>
      </c>
      <c r="D46" t="s">
        <v>137</v>
      </c>
      <c r="E46" t="s">
        <v>137</v>
      </c>
      <c r="F46">
        <v>0.9</v>
      </c>
      <c r="G46">
        <v>0.9</v>
      </c>
      <c r="H46">
        <v>5.0000000000000001E-3</v>
      </c>
      <c r="I46">
        <v>120</v>
      </c>
      <c r="J46">
        <v>82</v>
      </c>
      <c r="K46">
        <v>6.4067689999999997</v>
      </c>
      <c r="L46">
        <v>9.9276710000000001</v>
      </c>
      <c r="M46">
        <v>258.83999999999997</v>
      </c>
      <c r="N46" t="s">
        <v>137</v>
      </c>
      <c r="O46" t="s">
        <v>137</v>
      </c>
      <c r="P46">
        <v>5.9880000000000003E-3</v>
      </c>
      <c r="Q46">
        <v>3.7042609999999998</v>
      </c>
      <c r="R46">
        <v>3.7102499999999998</v>
      </c>
      <c r="S46">
        <v>2.6965189999999999</v>
      </c>
      <c r="T46" t="s">
        <v>137</v>
      </c>
      <c r="U46" t="s">
        <v>137</v>
      </c>
      <c r="V46" t="s">
        <v>137</v>
      </c>
      <c r="W46" t="s">
        <v>137</v>
      </c>
      <c r="X46" t="s">
        <v>137</v>
      </c>
      <c r="Y46">
        <v>57.91</v>
      </c>
      <c r="Z46">
        <v>42.09</v>
      </c>
      <c r="AA46" t="s">
        <v>137</v>
      </c>
      <c r="AB46" t="s">
        <v>137</v>
      </c>
      <c r="AC46" t="s">
        <v>137</v>
      </c>
      <c r="AD46" t="s">
        <v>137</v>
      </c>
      <c r="AE46" t="s">
        <v>137</v>
      </c>
    </row>
    <row r="47" spans="1:31" x14ac:dyDescent="0.3">
      <c r="A47" t="s">
        <v>51</v>
      </c>
      <c r="B47">
        <v>10</v>
      </c>
      <c r="C47" t="s">
        <v>137</v>
      </c>
      <c r="D47" t="s">
        <v>137</v>
      </c>
      <c r="E47" t="s">
        <v>137</v>
      </c>
      <c r="F47">
        <v>0.9</v>
      </c>
      <c r="G47">
        <v>0.9</v>
      </c>
      <c r="H47">
        <v>5.0000000000000001E-3</v>
      </c>
      <c r="I47">
        <v>120</v>
      </c>
      <c r="J47">
        <v>29</v>
      </c>
      <c r="K47">
        <v>18.844351</v>
      </c>
      <c r="L47">
        <v>22.202805999999999</v>
      </c>
      <c r="M47">
        <v>613.9</v>
      </c>
      <c r="N47" t="s">
        <v>137</v>
      </c>
      <c r="O47" t="s">
        <v>137</v>
      </c>
      <c r="P47">
        <v>6.4440000000000001E-3</v>
      </c>
      <c r="Q47">
        <v>8.0789930000000005</v>
      </c>
      <c r="R47">
        <v>8.0854370000000007</v>
      </c>
      <c r="S47">
        <v>10.758914000000001</v>
      </c>
      <c r="T47" t="s">
        <v>137</v>
      </c>
      <c r="U47" t="s">
        <v>137</v>
      </c>
      <c r="V47" t="s">
        <v>137</v>
      </c>
      <c r="W47" t="s">
        <v>137</v>
      </c>
      <c r="X47" t="s">
        <v>137</v>
      </c>
      <c r="Y47">
        <v>42.91</v>
      </c>
      <c r="Z47">
        <v>57.09</v>
      </c>
      <c r="AA47" t="s">
        <v>137</v>
      </c>
      <c r="AB47" t="s">
        <v>137</v>
      </c>
      <c r="AC47" t="s">
        <v>137</v>
      </c>
      <c r="AD47" t="s">
        <v>137</v>
      </c>
      <c r="AE47" t="s">
        <v>137</v>
      </c>
    </row>
    <row r="48" spans="1:31" x14ac:dyDescent="0.3">
      <c r="A48" t="s">
        <v>52</v>
      </c>
      <c r="B48">
        <v>10</v>
      </c>
      <c r="C48" t="s">
        <v>137</v>
      </c>
      <c r="D48" t="s">
        <v>137</v>
      </c>
      <c r="E48" t="s">
        <v>137</v>
      </c>
      <c r="F48">
        <v>0.9</v>
      </c>
      <c r="G48">
        <v>0.9</v>
      </c>
      <c r="H48">
        <v>5.0000000000000001E-3</v>
      </c>
      <c r="I48">
        <v>120</v>
      </c>
      <c r="J48">
        <v>84</v>
      </c>
      <c r="K48">
        <v>7.4034190000000004</v>
      </c>
      <c r="L48">
        <v>12.248431</v>
      </c>
      <c r="M48">
        <v>251.55</v>
      </c>
      <c r="N48" t="s">
        <v>137</v>
      </c>
      <c r="O48" t="s">
        <v>137</v>
      </c>
      <c r="P48">
        <v>5.9760000000000004E-3</v>
      </c>
      <c r="Q48">
        <v>4.2735519999999996</v>
      </c>
      <c r="R48">
        <v>4.279528</v>
      </c>
      <c r="S48">
        <v>3.1238899999999998</v>
      </c>
      <c r="T48" t="s">
        <v>137</v>
      </c>
      <c r="U48" t="s">
        <v>137</v>
      </c>
      <c r="V48" t="s">
        <v>137</v>
      </c>
      <c r="W48" t="s">
        <v>137</v>
      </c>
      <c r="X48" t="s">
        <v>137</v>
      </c>
      <c r="Y48">
        <v>57.8</v>
      </c>
      <c r="Z48">
        <v>42.2</v>
      </c>
      <c r="AA48" t="s">
        <v>137</v>
      </c>
      <c r="AB48" t="s">
        <v>137</v>
      </c>
      <c r="AC48" t="s">
        <v>137</v>
      </c>
      <c r="AD48" t="s">
        <v>137</v>
      </c>
      <c r="AE48" t="s">
        <v>137</v>
      </c>
    </row>
    <row r="49" spans="1:31" x14ac:dyDescent="0.3">
      <c r="A49" t="s">
        <v>53</v>
      </c>
      <c r="B49">
        <v>10</v>
      </c>
      <c r="C49" t="s">
        <v>137</v>
      </c>
      <c r="D49" t="s">
        <v>137</v>
      </c>
      <c r="E49" t="s">
        <v>137</v>
      </c>
      <c r="F49">
        <v>0.9</v>
      </c>
      <c r="G49">
        <v>0.9</v>
      </c>
      <c r="H49">
        <v>5.0000000000000001E-3</v>
      </c>
      <c r="I49">
        <v>120</v>
      </c>
      <c r="J49">
        <v>76</v>
      </c>
      <c r="K49">
        <v>7.7510490000000001</v>
      </c>
      <c r="L49">
        <v>15.031805</v>
      </c>
      <c r="M49">
        <v>240.43</v>
      </c>
      <c r="N49" t="s">
        <v>137</v>
      </c>
      <c r="O49" t="s">
        <v>137</v>
      </c>
      <c r="P49">
        <v>6.6119999999999998E-3</v>
      </c>
      <c r="Q49">
        <v>3.8510840000000002</v>
      </c>
      <c r="R49">
        <v>3.8576959999999998</v>
      </c>
      <c r="S49">
        <v>3.8933529999999998</v>
      </c>
      <c r="T49" t="s">
        <v>137</v>
      </c>
      <c r="U49" t="s">
        <v>137</v>
      </c>
      <c r="V49" t="s">
        <v>137</v>
      </c>
      <c r="W49" t="s">
        <v>137</v>
      </c>
      <c r="X49" t="s">
        <v>137</v>
      </c>
      <c r="Y49">
        <v>49.77</v>
      </c>
      <c r="Z49">
        <v>50.23</v>
      </c>
      <c r="AA49" t="s">
        <v>137</v>
      </c>
      <c r="AB49" t="s">
        <v>137</v>
      </c>
      <c r="AC49" t="s">
        <v>137</v>
      </c>
      <c r="AD49" t="s">
        <v>137</v>
      </c>
      <c r="AE49" t="s">
        <v>137</v>
      </c>
    </row>
    <row r="50" spans="1:31" x14ac:dyDescent="0.3">
      <c r="A50" t="s">
        <v>54</v>
      </c>
      <c r="B50">
        <v>10</v>
      </c>
      <c r="C50" t="s">
        <v>137</v>
      </c>
      <c r="D50" t="s">
        <v>137</v>
      </c>
      <c r="E50" t="s">
        <v>137</v>
      </c>
      <c r="F50">
        <v>0.9</v>
      </c>
      <c r="G50">
        <v>0.9</v>
      </c>
      <c r="H50">
        <v>5.0000000000000001E-3</v>
      </c>
      <c r="I50">
        <v>120</v>
      </c>
      <c r="J50">
        <v>86</v>
      </c>
      <c r="K50">
        <v>10.666027</v>
      </c>
      <c r="L50">
        <v>17.229358000000001</v>
      </c>
      <c r="M50">
        <v>391.24</v>
      </c>
      <c r="N50" t="s">
        <v>137</v>
      </c>
      <c r="O50" t="s">
        <v>137</v>
      </c>
      <c r="P50">
        <v>6.0150000000000004E-3</v>
      </c>
      <c r="Q50">
        <v>4.9591570000000003</v>
      </c>
      <c r="R50">
        <v>4.9651719999999999</v>
      </c>
      <c r="S50">
        <v>5.7008539999999996</v>
      </c>
      <c r="T50" t="s">
        <v>137</v>
      </c>
      <c r="U50" t="s">
        <v>137</v>
      </c>
      <c r="V50" t="s">
        <v>137</v>
      </c>
      <c r="W50" t="s">
        <v>137</v>
      </c>
      <c r="X50" t="s">
        <v>137</v>
      </c>
      <c r="Y50">
        <v>46.55</v>
      </c>
      <c r="Z50">
        <v>53.45</v>
      </c>
      <c r="AA50" t="s">
        <v>137</v>
      </c>
      <c r="AB50" t="s">
        <v>137</v>
      </c>
      <c r="AC50" t="s">
        <v>137</v>
      </c>
      <c r="AD50" t="s">
        <v>137</v>
      </c>
      <c r="AE50" t="s">
        <v>137</v>
      </c>
    </row>
    <row r="51" spans="1:31" x14ac:dyDescent="0.3">
      <c r="A51" t="s">
        <v>55</v>
      </c>
      <c r="B51">
        <v>10</v>
      </c>
      <c r="C51" t="s">
        <v>137</v>
      </c>
      <c r="D51" t="s">
        <v>137</v>
      </c>
      <c r="E51" t="s">
        <v>137</v>
      </c>
      <c r="F51">
        <v>0.9</v>
      </c>
      <c r="G51">
        <v>0.9</v>
      </c>
      <c r="H51">
        <v>5.0000000000000001E-3</v>
      </c>
      <c r="I51">
        <v>120</v>
      </c>
      <c r="J51">
        <v>65</v>
      </c>
      <c r="K51">
        <v>11.779161</v>
      </c>
      <c r="L51">
        <v>19.135251</v>
      </c>
      <c r="M51">
        <v>454.4</v>
      </c>
      <c r="N51" t="s">
        <v>137</v>
      </c>
      <c r="O51" t="s">
        <v>137</v>
      </c>
      <c r="P51">
        <v>5.7429999999999998E-3</v>
      </c>
      <c r="Q51">
        <v>5.2243899999999996</v>
      </c>
      <c r="R51">
        <v>5.2301330000000004</v>
      </c>
      <c r="S51">
        <v>6.5490279999999998</v>
      </c>
      <c r="T51" t="s">
        <v>137</v>
      </c>
      <c r="U51" t="s">
        <v>137</v>
      </c>
      <c r="V51" t="s">
        <v>137</v>
      </c>
      <c r="W51" t="s">
        <v>137</v>
      </c>
      <c r="X51" t="s">
        <v>137</v>
      </c>
      <c r="Y51">
        <v>44.4</v>
      </c>
      <c r="Z51">
        <v>55.6</v>
      </c>
      <c r="AA51" t="s">
        <v>137</v>
      </c>
      <c r="AB51" t="s">
        <v>137</v>
      </c>
      <c r="AC51" t="s">
        <v>137</v>
      </c>
      <c r="AD51" t="s">
        <v>137</v>
      </c>
      <c r="AE51" t="s">
        <v>137</v>
      </c>
    </row>
    <row r="52" spans="1:31" x14ac:dyDescent="0.3">
      <c r="A52" t="s">
        <v>56</v>
      </c>
      <c r="B52">
        <v>10</v>
      </c>
      <c r="C52" t="s">
        <v>137</v>
      </c>
      <c r="D52" t="s">
        <v>137</v>
      </c>
      <c r="E52" t="s">
        <v>137</v>
      </c>
      <c r="F52">
        <v>0.9</v>
      </c>
      <c r="G52">
        <v>0.9</v>
      </c>
      <c r="H52">
        <v>5.0000000000000001E-3</v>
      </c>
      <c r="I52">
        <v>120</v>
      </c>
      <c r="J52">
        <v>79</v>
      </c>
      <c r="K52">
        <v>11.443623000000001</v>
      </c>
      <c r="L52">
        <v>16.505122</v>
      </c>
      <c r="M52">
        <v>363.01</v>
      </c>
      <c r="N52" t="s">
        <v>137</v>
      </c>
      <c r="O52" t="s">
        <v>137</v>
      </c>
      <c r="P52">
        <v>6.1450000000000003E-3</v>
      </c>
      <c r="Q52">
        <v>5.8227029999999997</v>
      </c>
      <c r="R52">
        <v>5.8288479999999998</v>
      </c>
      <c r="S52">
        <v>5.6147749999999998</v>
      </c>
      <c r="T52" t="s">
        <v>137</v>
      </c>
      <c r="U52" t="s">
        <v>137</v>
      </c>
      <c r="V52" t="s">
        <v>137</v>
      </c>
      <c r="W52" t="s">
        <v>137</v>
      </c>
      <c r="X52" t="s">
        <v>137</v>
      </c>
      <c r="Y52">
        <v>50.94</v>
      </c>
      <c r="Z52">
        <v>49.06</v>
      </c>
      <c r="AA52" t="s">
        <v>137</v>
      </c>
      <c r="AB52" t="s">
        <v>137</v>
      </c>
      <c r="AC52" t="s">
        <v>137</v>
      </c>
      <c r="AD52" t="s">
        <v>137</v>
      </c>
      <c r="AE52" t="s">
        <v>137</v>
      </c>
    </row>
    <row r="53" spans="1:31" x14ac:dyDescent="0.3">
      <c r="A53" t="s">
        <v>57</v>
      </c>
      <c r="B53">
        <v>10</v>
      </c>
      <c r="C53" t="s">
        <v>137</v>
      </c>
      <c r="D53" t="s">
        <v>137</v>
      </c>
      <c r="E53" t="s">
        <v>137</v>
      </c>
      <c r="F53">
        <v>0.9</v>
      </c>
      <c r="G53">
        <v>0.9</v>
      </c>
      <c r="H53">
        <v>5.0000000000000001E-3</v>
      </c>
      <c r="I53">
        <v>120</v>
      </c>
      <c r="J53">
        <v>92</v>
      </c>
      <c r="K53">
        <v>8.2383109999999995</v>
      </c>
      <c r="L53">
        <v>16.677617000000001</v>
      </c>
      <c r="M53">
        <v>293.42</v>
      </c>
      <c r="N53" t="s">
        <v>137</v>
      </c>
      <c r="O53" t="s">
        <v>137</v>
      </c>
      <c r="P53">
        <v>5.803E-3</v>
      </c>
      <c r="Q53">
        <v>3.9154640000000001</v>
      </c>
      <c r="R53">
        <v>3.9212669999999998</v>
      </c>
      <c r="S53">
        <v>4.3170440000000001</v>
      </c>
      <c r="T53" t="s">
        <v>137</v>
      </c>
      <c r="U53" t="s">
        <v>137</v>
      </c>
      <c r="V53" t="s">
        <v>137</v>
      </c>
      <c r="W53" t="s">
        <v>137</v>
      </c>
      <c r="X53" t="s">
        <v>137</v>
      </c>
      <c r="Y53">
        <v>47.6</v>
      </c>
      <c r="Z53">
        <v>52.4</v>
      </c>
      <c r="AA53" t="s">
        <v>137</v>
      </c>
      <c r="AB53" t="s">
        <v>137</v>
      </c>
      <c r="AC53" t="s">
        <v>137</v>
      </c>
      <c r="AD53" t="s">
        <v>137</v>
      </c>
      <c r="AE53" t="s">
        <v>137</v>
      </c>
    </row>
    <row r="54" spans="1:31" x14ac:dyDescent="0.3">
      <c r="A54" t="s">
        <v>58</v>
      </c>
      <c r="B54">
        <v>10</v>
      </c>
      <c r="C54" t="s">
        <v>137</v>
      </c>
      <c r="D54" t="s">
        <v>137</v>
      </c>
      <c r="E54" t="s">
        <v>137</v>
      </c>
      <c r="F54">
        <v>0.9</v>
      </c>
      <c r="G54">
        <v>0.9</v>
      </c>
      <c r="H54">
        <v>5.0000000000000001E-3</v>
      </c>
      <c r="I54">
        <v>120</v>
      </c>
      <c r="J54">
        <v>59</v>
      </c>
      <c r="K54">
        <v>15.766793</v>
      </c>
      <c r="L54">
        <v>21.789643999999999</v>
      </c>
      <c r="M54">
        <v>545.64</v>
      </c>
      <c r="N54" t="s">
        <v>137</v>
      </c>
      <c r="O54" t="s">
        <v>137</v>
      </c>
      <c r="P54">
        <v>6.0210000000000003E-3</v>
      </c>
      <c r="Q54">
        <v>7.0435670000000004</v>
      </c>
      <c r="R54">
        <v>7.049588</v>
      </c>
      <c r="S54">
        <v>8.7172049999999999</v>
      </c>
      <c r="T54" t="s">
        <v>137</v>
      </c>
      <c r="U54" t="s">
        <v>137</v>
      </c>
      <c r="V54" t="s">
        <v>137</v>
      </c>
      <c r="W54" t="s">
        <v>137</v>
      </c>
      <c r="X54" t="s">
        <v>137</v>
      </c>
      <c r="Y54">
        <v>44.71</v>
      </c>
      <c r="Z54">
        <v>55.29</v>
      </c>
      <c r="AA54" t="s">
        <v>137</v>
      </c>
      <c r="AB54" t="s">
        <v>137</v>
      </c>
      <c r="AC54" t="s">
        <v>137</v>
      </c>
      <c r="AD54" t="s">
        <v>137</v>
      </c>
      <c r="AE54" t="s">
        <v>137</v>
      </c>
    </row>
    <row r="55" spans="1:31" x14ac:dyDescent="0.3">
      <c r="A55" t="s">
        <v>59</v>
      </c>
      <c r="B55">
        <v>10</v>
      </c>
      <c r="C55" t="s">
        <v>137</v>
      </c>
      <c r="D55" t="s">
        <v>137</v>
      </c>
      <c r="E55" t="s">
        <v>137</v>
      </c>
      <c r="F55">
        <v>0.9</v>
      </c>
      <c r="G55">
        <v>0.9</v>
      </c>
      <c r="H55">
        <v>5.0000000000000001E-3</v>
      </c>
      <c r="I55">
        <v>120</v>
      </c>
      <c r="J55">
        <v>93</v>
      </c>
      <c r="K55">
        <v>6.2600509999999998</v>
      </c>
      <c r="L55">
        <v>13.043037999999999</v>
      </c>
      <c r="M55">
        <v>194.28</v>
      </c>
      <c r="N55" t="s">
        <v>137</v>
      </c>
      <c r="O55" t="s">
        <v>137</v>
      </c>
      <c r="P55">
        <v>6.6689999999999996E-3</v>
      </c>
      <c r="Q55">
        <v>3.3830200000000001</v>
      </c>
      <c r="R55">
        <v>3.3896890000000002</v>
      </c>
      <c r="S55">
        <v>2.8703620000000001</v>
      </c>
      <c r="T55" t="s">
        <v>137</v>
      </c>
      <c r="U55" t="s">
        <v>137</v>
      </c>
      <c r="V55" t="s">
        <v>137</v>
      </c>
      <c r="W55" t="s">
        <v>137</v>
      </c>
      <c r="X55" t="s">
        <v>137</v>
      </c>
      <c r="Y55">
        <v>54.15</v>
      </c>
      <c r="Z55">
        <v>45.85</v>
      </c>
      <c r="AA55" t="s">
        <v>137</v>
      </c>
      <c r="AB55" t="s">
        <v>137</v>
      </c>
      <c r="AC55" t="s">
        <v>137</v>
      </c>
      <c r="AD55" t="s">
        <v>137</v>
      </c>
      <c r="AE55" t="s">
        <v>137</v>
      </c>
    </row>
    <row r="56" spans="1:31" x14ac:dyDescent="0.3">
      <c r="A56" t="s">
        <v>60</v>
      </c>
      <c r="B56">
        <v>10</v>
      </c>
      <c r="C56" t="s">
        <v>137</v>
      </c>
      <c r="D56" t="s">
        <v>137</v>
      </c>
      <c r="E56" t="s">
        <v>137</v>
      </c>
      <c r="F56">
        <v>0.9</v>
      </c>
      <c r="G56">
        <v>0.9</v>
      </c>
      <c r="H56">
        <v>5.0000000000000001E-3</v>
      </c>
      <c r="I56">
        <v>120</v>
      </c>
      <c r="J56">
        <v>86</v>
      </c>
      <c r="K56">
        <v>8.9929609999999993</v>
      </c>
      <c r="L56">
        <v>16.856400000000001</v>
      </c>
      <c r="M56">
        <v>279.19</v>
      </c>
      <c r="N56" t="s">
        <v>137</v>
      </c>
      <c r="O56" t="s">
        <v>137</v>
      </c>
      <c r="P56">
        <v>6.2620000000000002E-3</v>
      </c>
      <c r="Q56">
        <v>4.2673759999999996</v>
      </c>
      <c r="R56">
        <v>4.273638</v>
      </c>
      <c r="S56">
        <v>4.719322</v>
      </c>
      <c r="T56" t="s">
        <v>137</v>
      </c>
      <c r="U56" t="s">
        <v>137</v>
      </c>
      <c r="V56" t="s">
        <v>137</v>
      </c>
      <c r="W56" t="s">
        <v>137</v>
      </c>
      <c r="X56" t="s">
        <v>137</v>
      </c>
      <c r="Y56">
        <v>47.52</v>
      </c>
      <c r="Z56">
        <v>52.48</v>
      </c>
      <c r="AA56" t="s">
        <v>137</v>
      </c>
      <c r="AB56" t="s">
        <v>137</v>
      </c>
      <c r="AC56" t="s">
        <v>137</v>
      </c>
      <c r="AD56" t="s">
        <v>137</v>
      </c>
      <c r="AE56" t="s">
        <v>137</v>
      </c>
    </row>
    <row r="57" spans="1:31" x14ac:dyDescent="0.3">
      <c r="A57" t="s">
        <v>61</v>
      </c>
      <c r="B57">
        <v>10</v>
      </c>
      <c r="C57" t="s">
        <v>137</v>
      </c>
      <c r="D57" t="s">
        <v>137</v>
      </c>
      <c r="E57" t="s">
        <v>137</v>
      </c>
      <c r="F57">
        <v>0.9</v>
      </c>
      <c r="G57">
        <v>0.9</v>
      </c>
      <c r="H57">
        <v>5.0000000000000001E-3</v>
      </c>
      <c r="I57">
        <v>120</v>
      </c>
      <c r="J57">
        <v>94</v>
      </c>
      <c r="K57">
        <v>5.9236230000000001</v>
      </c>
      <c r="L57">
        <v>10.634715999999999</v>
      </c>
      <c r="M57">
        <v>201.67</v>
      </c>
      <c r="N57" t="s">
        <v>137</v>
      </c>
      <c r="O57" t="s">
        <v>137</v>
      </c>
      <c r="P57">
        <v>6.3790000000000001E-3</v>
      </c>
      <c r="Q57">
        <v>3.4032550000000001</v>
      </c>
      <c r="R57">
        <v>3.4096340000000001</v>
      </c>
      <c r="S57">
        <v>2.513989</v>
      </c>
      <c r="T57" t="s">
        <v>137</v>
      </c>
      <c r="U57" t="s">
        <v>137</v>
      </c>
      <c r="V57" t="s">
        <v>137</v>
      </c>
      <c r="W57" t="s">
        <v>137</v>
      </c>
      <c r="X57" t="s">
        <v>137</v>
      </c>
      <c r="Y57">
        <v>57.56</v>
      </c>
      <c r="Z57">
        <v>42.44</v>
      </c>
      <c r="AA57" t="s">
        <v>137</v>
      </c>
      <c r="AB57" t="s">
        <v>137</v>
      </c>
      <c r="AC57" t="s">
        <v>137</v>
      </c>
      <c r="AD57" t="s">
        <v>137</v>
      </c>
      <c r="AE57" t="s">
        <v>137</v>
      </c>
    </row>
    <row r="58" spans="1:31" x14ac:dyDescent="0.3">
      <c r="A58" t="s">
        <v>62</v>
      </c>
      <c r="B58">
        <v>10</v>
      </c>
      <c r="C58" t="s">
        <v>137</v>
      </c>
      <c r="D58" t="s">
        <v>137</v>
      </c>
      <c r="E58" t="s">
        <v>137</v>
      </c>
      <c r="F58">
        <v>0.9</v>
      </c>
      <c r="G58">
        <v>0.9</v>
      </c>
      <c r="H58">
        <v>5.0000000000000001E-3</v>
      </c>
      <c r="I58">
        <v>120</v>
      </c>
      <c r="J58">
        <v>47</v>
      </c>
      <c r="K58">
        <v>29.429897</v>
      </c>
      <c r="L58">
        <v>31.314277000000001</v>
      </c>
      <c r="M58">
        <v>929.81</v>
      </c>
      <c r="N58" t="s">
        <v>137</v>
      </c>
      <c r="O58" t="s">
        <v>137</v>
      </c>
      <c r="P58">
        <v>6.4359999999999999E-3</v>
      </c>
      <c r="Q58">
        <v>9.9951659999999993</v>
      </c>
      <c r="R58">
        <v>10.001602</v>
      </c>
      <c r="S58">
        <v>19.428296</v>
      </c>
      <c r="T58" t="s">
        <v>137</v>
      </c>
      <c r="U58" t="s">
        <v>137</v>
      </c>
      <c r="V58" t="s">
        <v>137</v>
      </c>
      <c r="W58" t="s">
        <v>137</v>
      </c>
      <c r="X58" t="s">
        <v>137</v>
      </c>
      <c r="Y58">
        <v>33.979999999999997</v>
      </c>
      <c r="Z58">
        <v>66.02</v>
      </c>
      <c r="AA58" t="s">
        <v>137</v>
      </c>
      <c r="AB58" t="s">
        <v>137</v>
      </c>
      <c r="AC58" t="s">
        <v>137</v>
      </c>
      <c r="AD58" t="s">
        <v>137</v>
      </c>
      <c r="AE58" t="s">
        <v>137</v>
      </c>
    </row>
    <row r="59" spans="1:31" x14ac:dyDescent="0.3">
      <c r="A59" t="s">
        <v>63</v>
      </c>
      <c r="B59">
        <v>10</v>
      </c>
      <c r="C59" t="s">
        <v>137</v>
      </c>
      <c r="D59" t="s">
        <v>137</v>
      </c>
      <c r="E59" t="s">
        <v>137</v>
      </c>
      <c r="F59">
        <v>0.9</v>
      </c>
      <c r="G59">
        <v>0.9</v>
      </c>
      <c r="H59">
        <v>5.0000000000000001E-3</v>
      </c>
      <c r="I59">
        <v>120</v>
      </c>
      <c r="J59">
        <v>77</v>
      </c>
      <c r="K59">
        <v>4.5932870000000001</v>
      </c>
      <c r="L59">
        <v>7.3636249999999999</v>
      </c>
      <c r="M59">
        <v>146.22999999999999</v>
      </c>
      <c r="N59" t="s">
        <v>137</v>
      </c>
      <c r="O59" t="s">
        <v>137</v>
      </c>
      <c r="P59">
        <v>6.4089999999999998E-3</v>
      </c>
      <c r="Q59">
        <v>2.9659059999999999</v>
      </c>
      <c r="R59">
        <v>2.972315</v>
      </c>
      <c r="S59">
        <v>1.6209720000000001</v>
      </c>
      <c r="T59" t="s">
        <v>137</v>
      </c>
      <c r="U59" t="s">
        <v>137</v>
      </c>
      <c r="V59" t="s">
        <v>137</v>
      </c>
      <c r="W59" t="s">
        <v>137</v>
      </c>
      <c r="X59" t="s">
        <v>137</v>
      </c>
      <c r="Y59">
        <v>64.709999999999994</v>
      </c>
      <c r="Z59">
        <v>35.29</v>
      </c>
      <c r="AA59" t="s">
        <v>137</v>
      </c>
      <c r="AB59" t="s">
        <v>137</v>
      </c>
      <c r="AC59" t="s">
        <v>137</v>
      </c>
      <c r="AD59" t="s">
        <v>137</v>
      </c>
      <c r="AE59" t="s">
        <v>137</v>
      </c>
    </row>
    <row r="60" spans="1:31" x14ac:dyDescent="0.3">
      <c r="A60" t="s">
        <v>64</v>
      </c>
      <c r="B60">
        <v>10</v>
      </c>
      <c r="C60" t="s">
        <v>137</v>
      </c>
      <c r="D60" t="s">
        <v>137</v>
      </c>
      <c r="E60" t="s">
        <v>137</v>
      </c>
      <c r="F60">
        <v>0.9</v>
      </c>
      <c r="G60">
        <v>0.9</v>
      </c>
      <c r="H60">
        <v>5.0000000000000001E-3</v>
      </c>
      <c r="I60">
        <v>120</v>
      </c>
      <c r="J60">
        <v>60</v>
      </c>
      <c r="K60">
        <v>17.974872999999999</v>
      </c>
      <c r="L60">
        <v>25.035658999999999</v>
      </c>
      <c r="M60">
        <v>635.91999999999996</v>
      </c>
      <c r="N60" t="s">
        <v>137</v>
      </c>
      <c r="O60" t="s">
        <v>137</v>
      </c>
      <c r="P60">
        <v>6.5799999999999999E-3</v>
      </c>
      <c r="Q60">
        <v>7.8044019999999996</v>
      </c>
      <c r="R60">
        <v>7.8109820000000001</v>
      </c>
      <c r="S60">
        <v>10.163891</v>
      </c>
      <c r="T60" t="s">
        <v>137</v>
      </c>
      <c r="U60" t="s">
        <v>137</v>
      </c>
      <c r="V60" t="s">
        <v>137</v>
      </c>
      <c r="W60" t="s">
        <v>137</v>
      </c>
      <c r="X60" t="s">
        <v>137</v>
      </c>
      <c r="Y60">
        <v>43.46</v>
      </c>
      <c r="Z60">
        <v>56.54</v>
      </c>
      <c r="AA60" t="s">
        <v>137</v>
      </c>
      <c r="AB60" t="s">
        <v>137</v>
      </c>
      <c r="AC60" t="s">
        <v>137</v>
      </c>
      <c r="AD60" t="s">
        <v>137</v>
      </c>
      <c r="AE60" t="s">
        <v>137</v>
      </c>
    </row>
    <row r="61" spans="1:31" x14ac:dyDescent="0.3">
      <c r="A61" t="s">
        <v>65</v>
      </c>
      <c r="B61">
        <v>10</v>
      </c>
      <c r="C61" t="s">
        <v>137</v>
      </c>
      <c r="D61" t="s">
        <v>137</v>
      </c>
      <c r="E61" t="s">
        <v>137</v>
      </c>
      <c r="F61">
        <v>0.9</v>
      </c>
      <c r="G61">
        <v>0.9</v>
      </c>
      <c r="H61">
        <v>5.0000000000000001E-3</v>
      </c>
      <c r="I61">
        <v>120</v>
      </c>
      <c r="J61">
        <v>92</v>
      </c>
      <c r="K61">
        <v>8.7497430000000005</v>
      </c>
      <c r="L61">
        <v>15.864901</v>
      </c>
      <c r="M61">
        <v>332.43</v>
      </c>
      <c r="N61" t="s">
        <v>137</v>
      </c>
      <c r="O61" t="s">
        <v>137</v>
      </c>
      <c r="P61">
        <v>5.8079999999999998E-3</v>
      </c>
      <c r="Q61">
        <v>4.1786329999999996</v>
      </c>
      <c r="R61">
        <v>4.1844409999999996</v>
      </c>
      <c r="S61">
        <v>4.565302</v>
      </c>
      <c r="T61" t="s">
        <v>137</v>
      </c>
      <c r="U61" t="s">
        <v>137</v>
      </c>
      <c r="V61" t="s">
        <v>137</v>
      </c>
      <c r="W61" t="s">
        <v>137</v>
      </c>
      <c r="X61" t="s">
        <v>137</v>
      </c>
      <c r="Y61">
        <v>47.82</v>
      </c>
      <c r="Z61">
        <v>52.18</v>
      </c>
      <c r="AA61" t="s">
        <v>137</v>
      </c>
      <c r="AB61" t="s">
        <v>137</v>
      </c>
      <c r="AC61" t="s">
        <v>137</v>
      </c>
      <c r="AD61" t="s">
        <v>137</v>
      </c>
      <c r="AE61" t="s">
        <v>137</v>
      </c>
    </row>
    <row r="62" spans="1:31" x14ac:dyDescent="0.3">
      <c r="A62" t="s">
        <v>66</v>
      </c>
      <c r="B62">
        <v>10</v>
      </c>
      <c r="C62" t="s">
        <v>137</v>
      </c>
      <c r="D62" t="s">
        <v>137</v>
      </c>
      <c r="E62" t="s">
        <v>137</v>
      </c>
      <c r="F62">
        <v>0.9</v>
      </c>
      <c r="G62">
        <v>0.9</v>
      </c>
      <c r="H62">
        <v>5.0000000000000001E-3</v>
      </c>
      <c r="I62">
        <v>120</v>
      </c>
      <c r="J62">
        <v>81</v>
      </c>
      <c r="K62">
        <v>10.39751</v>
      </c>
      <c r="L62">
        <v>18.966207000000001</v>
      </c>
      <c r="M62">
        <v>400.23</v>
      </c>
      <c r="N62" t="s">
        <v>137</v>
      </c>
      <c r="O62" t="s">
        <v>137</v>
      </c>
      <c r="P62">
        <v>6.1120000000000002E-3</v>
      </c>
      <c r="Q62">
        <v>4.5890269999999997</v>
      </c>
      <c r="R62">
        <v>4.5951389999999996</v>
      </c>
      <c r="S62">
        <v>5.8023699999999998</v>
      </c>
      <c r="T62" t="s">
        <v>137</v>
      </c>
      <c r="U62" t="s">
        <v>137</v>
      </c>
      <c r="V62" t="s">
        <v>137</v>
      </c>
      <c r="W62" t="s">
        <v>137</v>
      </c>
      <c r="X62" t="s">
        <v>137</v>
      </c>
      <c r="Y62">
        <v>44.19</v>
      </c>
      <c r="Z62">
        <v>55.81</v>
      </c>
      <c r="AA62" t="s">
        <v>137</v>
      </c>
      <c r="AB62" t="s">
        <v>137</v>
      </c>
      <c r="AC62" t="s">
        <v>137</v>
      </c>
      <c r="AD62" t="s">
        <v>137</v>
      </c>
      <c r="AE62" t="s">
        <v>137</v>
      </c>
    </row>
    <row r="63" spans="1:31" x14ac:dyDescent="0.3">
      <c r="A63" t="s">
        <v>67</v>
      </c>
      <c r="B63">
        <v>10</v>
      </c>
      <c r="C63" t="s">
        <v>137</v>
      </c>
      <c r="D63" t="s">
        <v>137</v>
      </c>
      <c r="E63" t="s">
        <v>137</v>
      </c>
      <c r="F63">
        <v>0.9</v>
      </c>
      <c r="G63">
        <v>0.9</v>
      </c>
      <c r="H63">
        <v>5.0000000000000001E-3</v>
      </c>
      <c r="I63">
        <v>120</v>
      </c>
      <c r="J63">
        <v>79</v>
      </c>
      <c r="K63">
        <v>15.894873</v>
      </c>
      <c r="L63">
        <v>22.553083000000001</v>
      </c>
      <c r="M63">
        <v>597.04</v>
      </c>
      <c r="N63" t="s">
        <v>137</v>
      </c>
      <c r="O63" t="s">
        <v>137</v>
      </c>
      <c r="P63">
        <v>5.8209999999999998E-3</v>
      </c>
      <c r="Q63">
        <v>6.5171659999999996</v>
      </c>
      <c r="R63">
        <v>6.5229869999999996</v>
      </c>
      <c r="S63">
        <v>9.3718869999999992</v>
      </c>
      <c r="T63" t="s">
        <v>137</v>
      </c>
      <c r="U63" t="s">
        <v>137</v>
      </c>
      <c r="V63" t="s">
        <v>137</v>
      </c>
      <c r="W63" t="s">
        <v>137</v>
      </c>
      <c r="X63" t="s">
        <v>137</v>
      </c>
      <c r="Y63">
        <v>41.04</v>
      </c>
      <c r="Z63">
        <v>58.96</v>
      </c>
      <c r="AA63" t="s">
        <v>137</v>
      </c>
      <c r="AB63" t="s">
        <v>137</v>
      </c>
      <c r="AC63" t="s">
        <v>137</v>
      </c>
      <c r="AD63" t="s">
        <v>137</v>
      </c>
      <c r="AE63" t="s">
        <v>137</v>
      </c>
    </row>
    <row r="64" spans="1:31" x14ac:dyDescent="0.3">
      <c r="A64" t="s">
        <v>68</v>
      </c>
      <c r="B64">
        <v>10</v>
      </c>
      <c r="C64" t="s">
        <v>137</v>
      </c>
      <c r="D64" t="s">
        <v>137</v>
      </c>
      <c r="E64" t="s">
        <v>137</v>
      </c>
      <c r="F64">
        <v>0.9</v>
      </c>
      <c r="G64">
        <v>0.9</v>
      </c>
      <c r="H64">
        <v>5.0000000000000001E-3</v>
      </c>
      <c r="I64">
        <v>120</v>
      </c>
      <c r="J64">
        <v>87</v>
      </c>
      <c r="K64">
        <v>15.580574</v>
      </c>
      <c r="L64">
        <v>24.556422999999999</v>
      </c>
      <c r="M64">
        <v>542.47</v>
      </c>
      <c r="N64" t="s">
        <v>137</v>
      </c>
      <c r="O64" t="s">
        <v>137</v>
      </c>
      <c r="P64">
        <v>6.1079999999999997E-3</v>
      </c>
      <c r="Q64">
        <v>6.3290559999999996</v>
      </c>
      <c r="R64">
        <v>6.3351639999999998</v>
      </c>
      <c r="S64">
        <v>9.2454099999999997</v>
      </c>
      <c r="T64" t="s">
        <v>137</v>
      </c>
      <c r="U64" t="s">
        <v>137</v>
      </c>
      <c r="V64" t="s">
        <v>137</v>
      </c>
      <c r="W64" t="s">
        <v>137</v>
      </c>
      <c r="X64" t="s">
        <v>137</v>
      </c>
      <c r="Y64">
        <v>40.659999999999997</v>
      </c>
      <c r="Z64">
        <v>59.34</v>
      </c>
      <c r="AA64" t="s">
        <v>137</v>
      </c>
      <c r="AB64" t="s">
        <v>137</v>
      </c>
      <c r="AC64" t="s">
        <v>137</v>
      </c>
      <c r="AD64" t="s">
        <v>137</v>
      </c>
      <c r="AE64" t="s">
        <v>137</v>
      </c>
    </row>
    <row r="65" spans="1:31" x14ac:dyDescent="0.3">
      <c r="A65" t="s">
        <v>69</v>
      </c>
      <c r="B65">
        <v>10</v>
      </c>
      <c r="C65" t="s">
        <v>137</v>
      </c>
      <c r="D65" t="s">
        <v>137</v>
      </c>
      <c r="E65" t="s">
        <v>137</v>
      </c>
      <c r="F65">
        <v>0.9</v>
      </c>
      <c r="G65">
        <v>0.9</v>
      </c>
      <c r="H65">
        <v>5.0000000000000001E-3</v>
      </c>
      <c r="I65">
        <v>120</v>
      </c>
      <c r="J65">
        <v>84</v>
      </c>
      <c r="K65">
        <v>12.93172</v>
      </c>
      <c r="L65">
        <v>20.943259999999999</v>
      </c>
      <c r="M65">
        <v>378.81</v>
      </c>
      <c r="N65" t="s">
        <v>137</v>
      </c>
      <c r="O65" t="s">
        <v>137</v>
      </c>
      <c r="P65">
        <v>6.581E-3</v>
      </c>
      <c r="Q65">
        <v>5.5200129999999996</v>
      </c>
      <c r="R65">
        <v>5.5265940000000002</v>
      </c>
      <c r="S65">
        <v>7.4051260000000001</v>
      </c>
      <c r="T65" t="s">
        <v>137</v>
      </c>
      <c r="U65" t="s">
        <v>137</v>
      </c>
      <c r="V65" t="s">
        <v>137</v>
      </c>
      <c r="W65" t="s">
        <v>137</v>
      </c>
      <c r="X65" t="s">
        <v>137</v>
      </c>
      <c r="Y65">
        <v>42.74</v>
      </c>
      <c r="Z65">
        <v>57.26</v>
      </c>
      <c r="AA65" t="s">
        <v>137</v>
      </c>
      <c r="AB65" t="s">
        <v>137</v>
      </c>
      <c r="AC65" t="s">
        <v>137</v>
      </c>
      <c r="AD65" t="s">
        <v>137</v>
      </c>
      <c r="AE65" t="s">
        <v>137</v>
      </c>
    </row>
    <row r="66" spans="1:31" x14ac:dyDescent="0.3">
      <c r="A66" t="s">
        <v>70</v>
      </c>
      <c r="B66">
        <v>10</v>
      </c>
      <c r="C66" t="s">
        <v>137</v>
      </c>
      <c r="D66" t="s">
        <v>137</v>
      </c>
      <c r="E66" t="s">
        <v>137</v>
      </c>
      <c r="F66">
        <v>0.9</v>
      </c>
      <c r="G66">
        <v>0.9</v>
      </c>
      <c r="H66">
        <v>5.0000000000000001E-3</v>
      </c>
      <c r="I66">
        <v>120</v>
      </c>
      <c r="J66">
        <v>87</v>
      </c>
      <c r="K66">
        <v>6.041493</v>
      </c>
      <c r="L66">
        <v>11.577602000000001</v>
      </c>
      <c r="M66">
        <v>201.21</v>
      </c>
      <c r="N66" t="s">
        <v>137</v>
      </c>
      <c r="O66" t="s">
        <v>137</v>
      </c>
      <c r="P66">
        <v>6.4700000000000001E-3</v>
      </c>
      <c r="Q66">
        <v>3.3401510000000001</v>
      </c>
      <c r="R66">
        <v>3.346622</v>
      </c>
      <c r="S66">
        <v>2.6948720000000002</v>
      </c>
      <c r="T66" t="s">
        <v>137</v>
      </c>
      <c r="U66" t="s">
        <v>137</v>
      </c>
      <c r="V66" t="s">
        <v>137</v>
      </c>
      <c r="W66" t="s">
        <v>137</v>
      </c>
      <c r="X66" t="s">
        <v>137</v>
      </c>
      <c r="Y66">
        <v>55.39</v>
      </c>
      <c r="Z66">
        <v>44.61</v>
      </c>
      <c r="AA66" t="s">
        <v>137</v>
      </c>
      <c r="AB66" t="s">
        <v>137</v>
      </c>
      <c r="AC66" t="s">
        <v>137</v>
      </c>
      <c r="AD66" t="s">
        <v>137</v>
      </c>
      <c r="AE66" t="s">
        <v>137</v>
      </c>
    </row>
    <row r="67" spans="1:31" x14ac:dyDescent="0.3">
      <c r="A67" t="s">
        <v>71</v>
      </c>
      <c r="B67">
        <v>10</v>
      </c>
      <c r="C67" t="s">
        <v>137</v>
      </c>
      <c r="D67" t="s">
        <v>137</v>
      </c>
      <c r="E67" t="s">
        <v>137</v>
      </c>
      <c r="F67">
        <v>0.9</v>
      </c>
      <c r="G67">
        <v>0.9</v>
      </c>
      <c r="H67">
        <v>5.0000000000000001E-3</v>
      </c>
      <c r="I67">
        <v>120</v>
      </c>
      <c r="J67">
        <v>77</v>
      </c>
      <c r="K67">
        <v>14.521198999999999</v>
      </c>
      <c r="L67">
        <v>22.426991999999998</v>
      </c>
      <c r="M67">
        <v>467.01</v>
      </c>
      <c r="N67" t="s">
        <v>137</v>
      </c>
      <c r="O67" t="s">
        <v>137</v>
      </c>
      <c r="P67">
        <v>6.1219999999999998E-3</v>
      </c>
      <c r="Q67">
        <v>6.3703430000000001</v>
      </c>
      <c r="R67">
        <v>6.3764649999999996</v>
      </c>
      <c r="S67">
        <v>8.1447339999999997</v>
      </c>
      <c r="T67" t="s">
        <v>137</v>
      </c>
      <c r="U67" t="s">
        <v>137</v>
      </c>
      <c r="V67" t="s">
        <v>137</v>
      </c>
      <c r="W67" t="s">
        <v>137</v>
      </c>
      <c r="X67" t="s">
        <v>137</v>
      </c>
      <c r="Y67">
        <v>43.91</v>
      </c>
      <c r="Z67">
        <v>56.09</v>
      </c>
      <c r="AA67" t="s">
        <v>137</v>
      </c>
      <c r="AB67" t="s">
        <v>137</v>
      </c>
      <c r="AC67" t="s">
        <v>137</v>
      </c>
      <c r="AD67" t="s">
        <v>137</v>
      </c>
      <c r="AE67" t="s">
        <v>137</v>
      </c>
    </row>
    <row r="68" spans="1:31" x14ac:dyDescent="0.3">
      <c r="A68" t="s">
        <v>72</v>
      </c>
      <c r="B68">
        <v>10</v>
      </c>
      <c r="C68" t="s">
        <v>137</v>
      </c>
      <c r="D68" t="s">
        <v>137</v>
      </c>
      <c r="E68" t="s">
        <v>137</v>
      </c>
      <c r="F68">
        <v>0.9</v>
      </c>
      <c r="G68">
        <v>0.9</v>
      </c>
      <c r="H68">
        <v>5.0000000000000001E-3</v>
      </c>
      <c r="I68">
        <v>120</v>
      </c>
      <c r="J68">
        <v>84</v>
      </c>
      <c r="K68">
        <v>11.860391999999999</v>
      </c>
      <c r="L68">
        <v>18.974959999999999</v>
      </c>
      <c r="M68">
        <v>380.69</v>
      </c>
      <c r="N68" t="s">
        <v>137</v>
      </c>
      <c r="O68" t="s">
        <v>137</v>
      </c>
      <c r="P68">
        <v>6.0740000000000004E-3</v>
      </c>
      <c r="Q68">
        <v>5.4520869999999997</v>
      </c>
      <c r="R68">
        <v>5.4581609999999996</v>
      </c>
      <c r="S68">
        <v>6.4022309999999996</v>
      </c>
      <c r="T68" t="s">
        <v>137</v>
      </c>
      <c r="U68" t="s">
        <v>137</v>
      </c>
      <c r="V68" t="s">
        <v>137</v>
      </c>
      <c r="W68" t="s">
        <v>137</v>
      </c>
      <c r="X68" t="s">
        <v>137</v>
      </c>
      <c r="Y68">
        <v>46.02</v>
      </c>
      <c r="Z68">
        <v>53.98</v>
      </c>
      <c r="AA68" t="s">
        <v>137</v>
      </c>
      <c r="AB68" t="s">
        <v>137</v>
      </c>
      <c r="AC68" t="s">
        <v>137</v>
      </c>
      <c r="AD68" t="s">
        <v>137</v>
      </c>
      <c r="AE68" t="s">
        <v>137</v>
      </c>
    </row>
    <row r="69" spans="1:31" x14ac:dyDescent="0.3">
      <c r="A69" t="s">
        <v>73</v>
      </c>
      <c r="B69">
        <v>10</v>
      </c>
      <c r="C69" t="s">
        <v>137</v>
      </c>
      <c r="D69" t="s">
        <v>137</v>
      </c>
      <c r="E69" t="s">
        <v>137</v>
      </c>
      <c r="F69">
        <v>0.9</v>
      </c>
      <c r="G69">
        <v>0.9</v>
      </c>
      <c r="H69">
        <v>5.0000000000000001E-3</v>
      </c>
      <c r="I69">
        <v>120</v>
      </c>
      <c r="J69">
        <v>91</v>
      </c>
      <c r="K69">
        <v>5.7167880000000002</v>
      </c>
      <c r="L69">
        <v>10.411823</v>
      </c>
      <c r="M69">
        <v>194.66</v>
      </c>
      <c r="N69" t="s">
        <v>137</v>
      </c>
      <c r="O69" t="s">
        <v>137</v>
      </c>
      <c r="P69">
        <v>6.7799999999999996E-3</v>
      </c>
      <c r="Q69">
        <v>3.2417020000000001</v>
      </c>
      <c r="R69">
        <v>3.2484829999999998</v>
      </c>
      <c r="S69">
        <v>2.468305</v>
      </c>
      <c r="T69" t="s">
        <v>137</v>
      </c>
      <c r="U69" t="s">
        <v>137</v>
      </c>
      <c r="V69" t="s">
        <v>137</v>
      </c>
      <c r="W69" t="s">
        <v>137</v>
      </c>
      <c r="X69" t="s">
        <v>137</v>
      </c>
      <c r="Y69">
        <v>56.82</v>
      </c>
      <c r="Z69">
        <v>43.18</v>
      </c>
      <c r="AA69" t="s">
        <v>137</v>
      </c>
      <c r="AB69" t="s">
        <v>137</v>
      </c>
      <c r="AC69" t="s">
        <v>137</v>
      </c>
      <c r="AD69" t="s">
        <v>137</v>
      </c>
      <c r="AE69" t="s">
        <v>137</v>
      </c>
    </row>
    <row r="70" spans="1:31" x14ac:dyDescent="0.3">
      <c r="A70" t="s">
        <v>74</v>
      </c>
      <c r="B70">
        <v>10</v>
      </c>
      <c r="C70" t="s">
        <v>137</v>
      </c>
      <c r="D70" t="s">
        <v>137</v>
      </c>
      <c r="E70" t="s">
        <v>137</v>
      </c>
      <c r="F70">
        <v>0.9</v>
      </c>
      <c r="G70">
        <v>0.9</v>
      </c>
      <c r="H70">
        <v>5.0000000000000001E-3</v>
      </c>
      <c r="I70">
        <v>120</v>
      </c>
      <c r="J70">
        <v>67</v>
      </c>
      <c r="K70">
        <v>17.339175999999998</v>
      </c>
      <c r="L70">
        <v>22.471715</v>
      </c>
      <c r="M70">
        <v>541.46</v>
      </c>
      <c r="N70" t="s">
        <v>137</v>
      </c>
      <c r="O70" t="s">
        <v>137</v>
      </c>
      <c r="P70">
        <v>7.4400000000000004E-3</v>
      </c>
      <c r="Q70">
        <v>8.2525110000000002</v>
      </c>
      <c r="R70">
        <v>8.2599509999999992</v>
      </c>
      <c r="S70">
        <v>9.0792260000000002</v>
      </c>
      <c r="T70" t="s">
        <v>137</v>
      </c>
      <c r="U70" t="s">
        <v>137</v>
      </c>
      <c r="V70" t="s">
        <v>137</v>
      </c>
      <c r="W70" t="s">
        <v>137</v>
      </c>
      <c r="X70" t="s">
        <v>137</v>
      </c>
      <c r="Y70">
        <v>47.64</v>
      </c>
      <c r="Z70">
        <v>52.36</v>
      </c>
      <c r="AA70" t="s">
        <v>137</v>
      </c>
      <c r="AB70" t="s">
        <v>137</v>
      </c>
      <c r="AC70" t="s">
        <v>137</v>
      </c>
      <c r="AD70" t="s">
        <v>137</v>
      </c>
      <c r="AE70" t="s">
        <v>137</v>
      </c>
    </row>
    <row r="71" spans="1:31" x14ac:dyDescent="0.3">
      <c r="A71" t="s">
        <v>75</v>
      </c>
      <c r="B71">
        <v>10</v>
      </c>
      <c r="C71" t="s">
        <v>137</v>
      </c>
      <c r="D71" t="s">
        <v>137</v>
      </c>
      <c r="E71" t="s">
        <v>137</v>
      </c>
      <c r="F71">
        <v>0.9</v>
      </c>
      <c r="G71">
        <v>0.9</v>
      </c>
      <c r="H71">
        <v>5.0000000000000001E-3</v>
      </c>
      <c r="I71">
        <v>120</v>
      </c>
      <c r="J71">
        <v>52</v>
      </c>
      <c r="K71">
        <v>15.069526</v>
      </c>
      <c r="L71">
        <v>21.068729000000001</v>
      </c>
      <c r="M71">
        <v>590.66999999999996</v>
      </c>
      <c r="N71" t="s">
        <v>137</v>
      </c>
      <c r="O71" t="s">
        <v>137</v>
      </c>
      <c r="P71">
        <v>5.8079999999999998E-3</v>
      </c>
      <c r="Q71">
        <v>6.385656</v>
      </c>
      <c r="R71">
        <v>6.391464</v>
      </c>
      <c r="S71">
        <v>8.6780629999999999</v>
      </c>
      <c r="T71" t="s">
        <v>137</v>
      </c>
      <c r="U71" t="s">
        <v>137</v>
      </c>
      <c r="V71" t="s">
        <v>137</v>
      </c>
      <c r="W71" t="s">
        <v>137</v>
      </c>
      <c r="X71" t="s">
        <v>137</v>
      </c>
      <c r="Y71">
        <v>42.41</v>
      </c>
      <c r="Z71">
        <v>57.59</v>
      </c>
      <c r="AA71" t="s">
        <v>137</v>
      </c>
      <c r="AB71" t="s">
        <v>137</v>
      </c>
      <c r="AC71" t="s">
        <v>137</v>
      </c>
      <c r="AD71" t="s">
        <v>137</v>
      </c>
      <c r="AE71" t="s">
        <v>137</v>
      </c>
    </row>
    <row r="72" spans="1:31" x14ac:dyDescent="0.3">
      <c r="A72" t="s">
        <v>76</v>
      </c>
      <c r="B72">
        <v>10</v>
      </c>
      <c r="C72" t="s">
        <v>137</v>
      </c>
      <c r="D72" t="s">
        <v>137</v>
      </c>
      <c r="E72" t="s">
        <v>137</v>
      </c>
      <c r="F72">
        <v>0.9</v>
      </c>
      <c r="G72">
        <v>0.9</v>
      </c>
      <c r="H72">
        <v>5.0000000000000001E-3</v>
      </c>
      <c r="I72">
        <v>120</v>
      </c>
      <c r="J72">
        <v>92</v>
      </c>
      <c r="K72">
        <v>7.7462929999999997</v>
      </c>
      <c r="L72">
        <v>14.498841000000001</v>
      </c>
      <c r="M72">
        <v>280.36</v>
      </c>
      <c r="N72" t="s">
        <v>137</v>
      </c>
      <c r="O72" t="s">
        <v>137</v>
      </c>
      <c r="P72">
        <v>5.8710000000000004E-3</v>
      </c>
      <c r="Q72">
        <v>3.835979</v>
      </c>
      <c r="R72">
        <v>3.8418489999999998</v>
      </c>
      <c r="S72">
        <v>3.9044430000000001</v>
      </c>
      <c r="T72" t="s">
        <v>137</v>
      </c>
      <c r="U72" t="s">
        <v>137</v>
      </c>
      <c r="V72" t="s">
        <v>137</v>
      </c>
      <c r="W72" t="s">
        <v>137</v>
      </c>
      <c r="X72" t="s">
        <v>137</v>
      </c>
      <c r="Y72">
        <v>49.6</v>
      </c>
      <c r="Z72">
        <v>50.4</v>
      </c>
      <c r="AA72" t="s">
        <v>137</v>
      </c>
      <c r="AB72" t="s">
        <v>137</v>
      </c>
      <c r="AC72" t="s">
        <v>137</v>
      </c>
      <c r="AD72" t="s">
        <v>137</v>
      </c>
      <c r="AE72" t="s">
        <v>137</v>
      </c>
    </row>
    <row r="73" spans="1:31" x14ac:dyDescent="0.3">
      <c r="A73" t="s">
        <v>77</v>
      </c>
      <c r="B73">
        <v>10</v>
      </c>
      <c r="C73" t="s">
        <v>137</v>
      </c>
      <c r="D73" t="s">
        <v>137</v>
      </c>
      <c r="E73" t="s">
        <v>137</v>
      </c>
      <c r="F73">
        <v>0.9</v>
      </c>
      <c r="G73">
        <v>0.9</v>
      </c>
      <c r="H73">
        <v>5.0000000000000001E-3</v>
      </c>
      <c r="I73">
        <v>120</v>
      </c>
      <c r="J73">
        <v>16</v>
      </c>
      <c r="K73">
        <v>18.117573</v>
      </c>
      <c r="L73">
        <v>15.557634999999999</v>
      </c>
      <c r="M73">
        <v>678.25</v>
      </c>
      <c r="N73" t="s">
        <v>137</v>
      </c>
      <c r="O73" t="s">
        <v>137</v>
      </c>
      <c r="P73">
        <v>6.0070000000000002E-3</v>
      </c>
      <c r="Q73">
        <v>9.103529</v>
      </c>
      <c r="R73">
        <v>9.1095349999999993</v>
      </c>
      <c r="S73">
        <v>9.0080380000000009</v>
      </c>
      <c r="T73" t="s">
        <v>137</v>
      </c>
      <c r="U73" t="s">
        <v>137</v>
      </c>
      <c r="V73" t="s">
        <v>137</v>
      </c>
      <c r="W73" t="s">
        <v>137</v>
      </c>
      <c r="X73" t="s">
        <v>137</v>
      </c>
      <c r="Y73">
        <v>50.28</v>
      </c>
      <c r="Z73">
        <v>49.72</v>
      </c>
      <c r="AA73" t="s">
        <v>137</v>
      </c>
      <c r="AB73" t="s">
        <v>137</v>
      </c>
      <c r="AC73" t="s">
        <v>137</v>
      </c>
      <c r="AD73" t="s">
        <v>137</v>
      </c>
      <c r="AE73" t="s">
        <v>137</v>
      </c>
    </row>
    <row r="74" spans="1:31" x14ac:dyDescent="0.3">
      <c r="A74" t="s">
        <v>78</v>
      </c>
      <c r="B74">
        <v>10</v>
      </c>
      <c r="C74" t="s">
        <v>137</v>
      </c>
      <c r="D74" t="s">
        <v>137</v>
      </c>
      <c r="E74" t="s">
        <v>137</v>
      </c>
      <c r="F74">
        <v>0.9</v>
      </c>
      <c r="G74">
        <v>0.9</v>
      </c>
      <c r="H74">
        <v>5.0000000000000001E-3</v>
      </c>
      <c r="I74">
        <v>120</v>
      </c>
      <c r="J74">
        <v>89</v>
      </c>
      <c r="K74">
        <v>9.8076039999999995</v>
      </c>
      <c r="L74">
        <v>18.449487999999999</v>
      </c>
      <c r="M74">
        <v>321.48</v>
      </c>
      <c r="N74" t="s">
        <v>137</v>
      </c>
      <c r="O74" t="s">
        <v>137</v>
      </c>
      <c r="P74">
        <v>6.3870000000000003E-3</v>
      </c>
      <c r="Q74">
        <v>4.478942</v>
      </c>
      <c r="R74">
        <v>4.4853290000000001</v>
      </c>
      <c r="S74">
        <v>5.3222750000000003</v>
      </c>
      <c r="T74" t="s">
        <v>137</v>
      </c>
      <c r="U74" t="s">
        <v>137</v>
      </c>
      <c r="V74" t="s">
        <v>137</v>
      </c>
      <c r="W74" t="s">
        <v>137</v>
      </c>
      <c r="X74" t="s">
        <v>137</v>
      </c>
      <c r="Y74">
        <v>45.73</v>
      </c>
      <c r="Z74">
        <v>54.27</v>
      </c>
      <c r="AA74" t="s">
        <v>137</v>
      </c>
      <c r="AB74" t="s">
        <v>137</v>
      </c>
      <c r="AC74" t="s">
        <v>137</v>
      </c>
      <c r="AD74" t="s">
        <v>137</v>
      </c>
      <c r="AE74" t="s">
        <v>137</v>
      </c>
    </row>
    <row r="75" spans="1:31" x14ac:dyDescent="0.3">
      <c r="A75" t="s">
        <v>79</v>
      </c>
      <c r="B75">
        <v>10</v>
      </c>
      <c r="C75" t="s">
        <v>137</v>
      </c>
      <c r="D75" t="s">
        <v>137</v>
      </c>
      <c r="E75" t="s">
        <v>137</v>
      </c>
      <c r="F75">
        <v>0.9</v>
      </c>
      <c r="G75">
        <v>0.9</v>
      </c>
      <c r="H75">
        <v>5.0000000000000001E-3</v>
      </c>
      <c r="I75">
        <v>120</v>
      </c>
      <c r="J75">
        <v>94</v>
      </c>
      <c r="K75">
        <v>6.0214730000000003</v>
      </c>
      <c r="L75">
        <v>13.712348</v>
      </c>
      <c r="M75">
        <v>283.86</v>
      </c>
      <c r="N75" t="s">
        <v>137</v>
      </c>
      <c r="O75" t="s">
        <v>137</v>
      </c>
      <c r="P75">
        <v>6.8199999999999997E-3</v>
      </c>
      <c r="Q75">
        <v>2.768859</v>
      </c>
      <c r="R75">
        <v>2.7756789999999998</v>
      </c>
      <c r="S75">
        <v>3.2457929999999999</v>
      </c>
      <c r="T75" t="s">
        <v>137</v>
      </c>
      <c r="U75" t="s">
        <v>137</v>
      </c>
      <c r="V75" t="s">
        <v>137</v>
      </c>
      <c r="W75" t="s">
        <v>137</v>
      </c>
      <c r="X75" t="s">
        <v>137</v>
      </c>
      <c r="Y75">
        <v>46.1</v>
      </c>
      <c r="Z75">
        <v>53.9</v>
      </c>
      <c r="AA75" t="s">
        <v>137</v>
      </c>
      <c r="AB75" t="s">
        <v>137</v>
      </c>
      <c r="AC75" t="s">
        <v>137</v>
      </c>
      <c r="AD75" t="s">
        <v>137</v>
      </c>
      <c r="AE75" t="s">
        <v>137</v>
      </c>
    </row>
    <row r="76" spans="1:31" x14ac:dyDescent="0.3">
      <c r="A76" t="s">
        <v>80</v>
      </c>
      <c r="B76">
        <v>10</v>
      </c>
      <c r="C76" t="s">
        <v>137</v>
      </c>
      <c r="D76" t="s">
        <v>137</v>
      </c>
      <c r="E76" t="s">
        <v>137</v>
      </c>
      <c r="F76">
        <v>0.9</v>
      </c>
      <c r="G76">
        <v>0.9</v>
      </c>
      <c r="H76">
        <v>5.0000000000000001E-3</v>
      </c>
      <c r="I76">
        <v>120</v>
      </c>
      <c r="J76">
        <v>81</v>
      </c>
      <c r="K76">
        <v>5.0317119999999997</v>
      </c>
      <c r="L76">
        <v>15.460728</v>
      </c>
      <c r="M76">
        <v>286.51</v>
      </c>
      <c r="N76" t="s">
        <v>137</v>
      </c>
      <c r="O76" t="s">
        <v>137</v>
      </c>
      <c r="P76">
        <v>7.4460000000000004E-3</v>
      </c>
      <c r="Q76">
        <v>1.800306</v>
      </c>
      <c r="R76">
        <v>1.807752</v>
      </c>
      <c r="S76">
        <v>3.2239599999999999</v>
      </c>
      <c r="T76" t="s">
        <v>137</v>
      </c>
      <c r="U76" t="s">
        <v>137</v>
      </c>
      <c r="V76" t="s">
        <v>137</v>
      </c>
      <c r="W76" t="s">
        <v>137</v>
      </c>
      <c r="X76" t="s">
        <v>137</v>
      </c>
      <c r="Y76">
        <v>35.93</v>
      </c>
      <c r="Z76">
        <v>64.069999999999993</v>
      </c>
      <c r="AA76" t="s">
        <v>137</v>
      </c>
      <c r="AB76" t="s">
        <v>137</v>
      </c>
      <c r="AC76" t="s">
        <v>137</v>
      </c>
      <c r="AD76" t="s">
        <v>137</v>
      </c>
      <c r="AE76" t="s">
        <v>137</v>
      </c>
    </row>
    <row r="77" spans="1:31" x14ac:dyDescent="0.3">
      <c r="A77" t="s">
        <v>81</v>
      </c>
      <c r="B77">
        <v>10</v>
      </c>
      <c r="C77" t="s">
        <v>137</v>
      </c>
      <c r="D77" t="s">
        <v>137</v>
      </c>
      <c r="E77" t="s">
        <v>137</v>
      </c>
      <c r="F77">
        <v>0.9</v>
      </c>
      <c r="G77">
        <v>0.9</v>
      </c>
      <c r="H77">
        <v>5.0000000000000001E-3</v>
      </c>
      <c r="I77">
        <v>120</v>
      </c>
      <c r="J77">
        <v>77</v>
      </c>
      <c r="K77">
        <v>8.5961350000000003</v>
      </c>
      <c r="L77">
        <v>18.450372000000002</v>
      </c>
      <c r="M77">
        <v>461.91</v>
      </c>
      <c r="N77" t="s">
        <v>137</v>
      </c>
      <c r="O77" t="s">
        <v>137</v>
      </c>
      <c r="P77">
        <v>9.9819999999999996E-3</v>
      </c>
      <c r="Q77">
        <v>3.9319679999999999</v>
      </c>
      <c r="R77">
        <v>3.9419499999999998</v>
      </c>
      <c r="S77">
        <v>4.654185</v>
      </c>
      <c r="T77" t="s">
        <v>137</v>
      </c>
      <c r="U77" t="s">
        <v>137</v>
      </c>
      <c r="V77" t="s">
        <v>137</v>
      </c>
      <c r="W77" t="s">
        <v>137</v>
      </c>
      <c r="X77" t="s">
        <v>137</v>
      </c>
      <c r="Y77">
        <v>45.86</v>
      </c>
      <c r="Z77">
        <v>54.14</v>
      </c>
      <c r="AA77" t="s">
        <v>137</v>
      </c>
      <c r="AB77" t="s">
        <v>137</v>
      </c>
      <c r="AC77" t="s">
        <v>137</v>
      </c>
      <c r="AD77" t="s">
        <v>137</v>
      </c>
      <c r="AE77" t="s">
        <v>137</v>
      </c>
    </row>
    <row r="78" spans="1:31" x14ac:dyDescent="0.3">
      <c r="A78" t="s">
        <v>82</v>
      </c>
      <c r="B78">
        <v>10</v>
      </c>
      <c r="C78" t="s">
        <v>137</v>
      </c>
      <c r="D78" t="s">
        <v>137</v>
      </c>
      <c r="E78" t="s">
        <v>137</v>
      </c>
      <c r="F78">
        <v>0.9</v>
      </c>
      <c r="G78">
        <v>0.9</v>
      </c>
      <c r="H78">
        <v>5.0000000000000001E-3</v>
      </c>
      <c r="I78">
        <v>120</v>
      </c>
      <c r="J78">
        <v>93</v>
      </c>
      <c r="K78">
        <v>4.06874</v>
      </c>
      <c r="L78">
        <v>14.643506</v>
      </c>
      <c r="M78">
        <v>223.87</v>
      </c>
      <c r="N78" t="s">
        <v>137</v>
      </c>
      <c r="O78" t="s">
        <v>137</v>
      </c>
      <c r="P78">
        <v>6.2760000000000003E-3</v>
      </c>
      <c r="Q78">
        <v>1.4013549999999999</v>
      </c>
      <c r="R78">
        <v>1.4076299999999999</v>
      </c>
      <c r="S78">
        <v>2.6611090000000002</v>
      </c>
      <c r="T78" t="s">
        <v>137</v>
      </c>
      <c r="U78" t="s">
        <v>137</v>
      </c>
      <c r="V78" t="s">
        <v>137</v>
      </c>
      <c r="W78" t="s">
        <v>137</v>
      </c>
      <c r="X78" t="s">
        <v>137</v>
      </c>
      <c r="Y78">
        <v>34.6</v>
      </c>
      <c r="Z78">
        <v>65.400000000000006</v>
      </c>
      <c r="AA78" t="s">
        <v>137</v>
      </c>
      <c r="AB78" t="s">
        <v>137</v>
      </c>
      <c r="AC78" t="s">
        <v>137</v>
      </c>
      <c r="AD78" t="s">
        <v>137</v>
      </c>
      <c r="AE78" t="s">
        <v>137</v>
      </c>
    </row>
    <row r="79" spans="1:31" x14ac:dyDescent="0.3">
      <c r="A79" t="s">
        <v>83</v>
      </c>
      <c r="B79">
        <v>10</v>
      </c>
      <c r="C79" t="s">
        <v>137</v>
      </c>
      <c r="D79" t="s">
        <v>137</v>
      </c>
      <c r="E79" t="s">
        <v>137</v>
      </c>
      <c r="F79">
        <v>0.9</v>
      </c>
      <c r="G79">
        <v>0.9</v>
      </c>
      <c r="H79">
        <v>5.0000000000000001E-3</v>
      </c>
      <c r="I79">
        <v>120</v>
      </c>
      <c r="J79">
        <v>63</v>
      </c>
      <c r="K79">
        <v>2.598649</v>
      </c>
      <c r="L79">
        <v>7.1084639999999997</v>
      </c>
      <c r="M79">
        <v>171.27</v>
      </c>
      <c r="N79" t="s">
        <v>137</v>
      </c>
      <c r="O79" t="s">
        <v>137</v>
      </c>
      <c r="P79">
        <v>6.5129999999999997E-3</v>
      </c>
      <c r="Q79">
        <v>1.3643540000000001</v>
      </c>
      <c r="R79">
        <v>1.3708670000000001</v>
      </c>
      <c r="S79">
        <v>1.2277819999999999</v>
      </c>
      <c r="T79" t="s">
        <v>137</v>
      </c>
      <c r="U79" t="s">
        <v>137</v>
      </c>
      <c r="V79" t="s">
        <v>137</v>
      </c>
      <c r="W79" t="s">
        <v>137</v>
      </c>
      <c r="X79" t="s">
        <v>137</v>
      </c>
      <c r="Y79">
        <v>52.75</v>
      </c>
      <c r="Z79">
        <v>47.25</v>
      </c>
      <c r="AA79" t="s">
        <v>137</v>
      </c>
      <c r="AB79" t="s">
        <v>137</v>
      </c>
      <c r="AC79" t="s">
        <v>137</v>
      </c>
      <c r="AD79" t="s">
        <v>137</v>
      </c>
      <c r="AE79" t="s">
        <v>137</v>
      </c>
    </row>
    <row r="80" spans="1:31" x14ac:dyDescent="0.3">
      <c r="A80" t="s">
        <v>84</v>
      </c>
      <c r="B80">
        <v>10</v>
      </c>
      <c r="C80" t="s">
        <v>137</v>
      </c>
      <c r="D80" t="s">
        <v>137</v>
      </c>
      <c r="E80" t="s">
        <v>137</v>
      </c>
      <c r="F80">
        <v>0.9</v>
      </c>
      <c r="G80">
        <v>0.9</v>
      </c>
      <c r="H80">
        <v>5.0000000000000001E-3</v>
      </c>
      <c r="I80">
        <v>120</v>
      </c>
      <c r="J80">
        <v>29</v>
      </c>
      <c r="K80">
        <v>11.678478</v>
      </c>
      <c r="L80">
        <v>27.031704000000001</v>
      </c>
      <c r="M80">
        <v>678.72</v>
      </c>
      <c r="N80" t="s">
        <v>137</v>
      </c>
      <c r="O80" t="s">
        <v>137</v>
      </c>
      <c r="P80">
        <v>6.7060000000000002E-3</v>
      </c>
      <c r="Q80">
        <v>3.496575</v>
      </c>
      <c r="R80">
        <v>3.5032809999999999</v>
      </c>
      <c r="S80">
        <v>8.1751959999999997</v>
      </c>
      <c r="T80" t="s">
        <v>137</v>
      </c>
      <c r="U80" t="s">
        <v>137</v>
      </c>
      <c r="V80" t="s">
        <v>137</v>
      </c>
      <c r="W80" t="s">
        <v>137</v>
      </c>
      <c r="X80" t="s">
        <v>137</v>
      </c>
      <c r="Y80">
        <v>30</v>
      </c>
      <c r="Z80">
        <v>70</v>
      </c>
      <c r="AA80" t="s">
        <v>137</v>
      </c>
      <c r="AB80" t="s">
        <v>137</v>
      </c>
      <c r="AC80" t="s">
        <v>137</v>
      </c>
      <c r="AD80" t="s">
        <v>137</v>
      </c>
      <c r="AE80" t="s">
        <v>137</v>
      </c>
    </row>
    <row r="81" spans="1:31" x14ac:dyDescent="0.3">
      <c r="A81" t="s">
        <v>85</v>
      </c>
      <c r="B81">
        <v>10</v>
      </c>
      <c r="C81" t="s">
        <v>137</v>
      </c>
      <c r="D81" t="s">
        <v>137</v>
      </c>
      <c r="E81" t="s">
        <v>137</v>
      </c>
      <c r="F81">
        <v>0.9</v>
      </c>
      <c r="G81">
        <v>0.9</v>
      </c>
      <c r="H81">
        <v>5.0000000000000001E-3</v>
      </c>
      <c r="I81">
        <v>120</v>
      </c>
      <c r="J81">
        <v>90</v>
      </c>
      <c r="K81">
        <v>1.37215</v>
      </c>
      <c r="L81">
        <v>4.6901529999999996</v>
      </c>
      <c r="M81">
        <v>64.69</v>
      </c>
      <c r="N81" t="s">
        <v>137</v>
      </c>
      <c r="O81" t="s">
        <v>137</v>
      </c>
      <c r="P81">
        <v>1.1270000000000001E-2</v>
      </c>
      <c r="Q81">
        <v>0.85064399999999996</v>
      </c>
      <c r="R81">
        <v>0.86191300000000004</v>
      </c>
      <c r="S81">
        <v>0.51023700000000005</v>
      </c>
      <c r="T81" t="s">
        <v>137</v>
      </c>
      <c r="U81" t="s">
        <v>137</v>
      </c>
      <c r="V81" t="s">
        <v>137</v>
      </c>
      <c r="W81" t="s">
        <v>137</v>
      </c>
      <c r="X81" t="s">
        <v>137</v>
      </c>
      <c r="Y81">
        <v>62.81</v>
      </c>
      <c r="Z81">
        <v>37.19</v>
      </c>
      <c r="AA81" t="s">
        <v>137</v>
      </c>
      <c r="AB81" t="s">
        <v>137</v>
      </c>
      <c r="AC81" t="s">
        <v>137</v>
      </c>
      <c r="AD81" t="s">
        <v>137</v>
      </c>
      <c r="AE81" t="s">
        <v>137</v>
      </c>
    </row>
    <row r="82" spans="1:31" x14ac:dyDescent="0.3">
      <c r="A82" t="s">
        <v>86</v>
      </c>
      <c r="B82">
        <v>10</v>
      </c>
      <c r="C82" t="s">
        <v>137</v>
      </c>
      <c r="D82" t="s">
        <v>137</v>
      </c>
      <c r="E82" t="s">
        <v>137</v>
      </c>
      <c r="F82">
        <v>0.9</v>
      </c>
      <c r="G82">
        <v>0.9</v>
      </c>
      <c r="H82">
        <v>5.0000000000000001E-3</v>
      </c>
      <c r="I82">
        <v>120</v>
      </c>
      <c r="J82">
        <v>52</v>
      </c>
      <c r="K82">
        <v>10.417624</v>
      </c>
      <c r="L82">
        <v>24.071059999999999</v>
      </c>
      <c r="M82">
        <v>701.71</v>
      </c>
      <c r="N82" t="s">
        <v>137</v>
      </c>
      <c r="O82" t="s">
        <v>137</v>
      </c>
      <c r="P82">
        <v>6.7819999999999998E-3</v>
      </c>
      <c r="Q82">
        <v>3.026097</v>
      </c>
      <c r="R82">
        <v>3.0328789999999999</v>
      </c>
      <c r="S82">
        <v>7.3847459999999998</v>
      </c>
      <c r="T82" t="s">
        <v>137</v>
      </c>
      <c r="U82" t="s">
        <v>137</v>
      </c>
      <c r="V82" t="s">
        <v>137</v>
      </c>
      <c r="W82" t="s">
        <v>137</v>
      </c>
      <c r="X82" t="s">
        <v>137</v>
      </c>
      <c r="Y82">
        <v>29.11</v>
      </c>
      <c r="Z82">
        <v>70.89</v>
      </c>
      <c r="AA82" t="s">
        <v>137</v>
      </c>
      <c r="AB82" t="s">
        <v>137</v>
      </c>
      <c r="AC82" t="s">
        <v>137</v>
      </c>
      <c r="AD82" t="s">
        <v>137</v>
      </c>
      <c r="AE82" t="s">
        <v>137</v>
      </c>
    </row>
    <row r="83" spans="1:31" x14ac:dyDescent="0.3">
      <c r="A83" t="s">
        <v>87</v>
      </c>
      <c r="B83">
        <v>10</v>
      </c>
      <c r="C83" t="s">
        <v>137</v>
      </c>
      <c r="D83" t="s">
        <v>137</v>
      </c>
      <c r="E83" t="s">
        <v>137</v>
      </c>
      <c r="F83">
        <v>0.9</v>
      </c>
      <c r="G83">
        <v>0.9</v>
      </c>
      <c r="H83">
        <v>5.0000000000000001E-3</v>
      </c>
      <c r="I83">
        <v>120</v>
      </c>
      <c r="J83">
        <v>88</v>
      </c>
      <c r="K83">
        <v>4.8372130000000002</v>
      </c>
      <c r="L83">
        <v>9.7784569999999995</v>
      </c>
      <c r="M83">
        <v>256.93</v>
      </c>
      <c r="N83" t="s">
        <v>137</v>
      </c>
      <c r="O83" t="s">
        <v>137</v>
      </c>
      <c r="P83">
        <v>6.0039999999999998E-3</v>
      </c>
      <c r="Q83">
        <v>2.5262519999999999</v>
      </c>
      <c r="R83">
        <v>2.5322559999999998</v>
      </c>
      <c r="S83">
        <v>2.3049569999999999</v>
      </c>
      <c r="T83" t="s">
        <v>137</v>
      </c>
      <c r="U83" t="s">
        <v>137</v>
      </c>
      <c r="V83" t="s">
        <v>137</v>
      </c>
      <c r="W83" t="s">
        <v>137</v>
      </c>
      <c r="X83" t="s">
        <v>137</v>
      </c>
      <c r="Y83">
        <v>52.35</v>
      </c>
      <c r="Z83">
        <v>47.65</v>
      </c>
      <c r="AA83" t="s">
        <v>137</v>
      </c>
      <c r="AB83" t="s">
        <v>137</v>
      </c>
      <c r="AC83" t="s">
        <v>137</v>
      </c>
      <c r="AD83" t="s">
        <v>137</v>
      </c>
      <c r="AE83" t="s">
        <v>137</v>
      </c>
    </row>
    <row r="84" spans="1:31" x14ac:dyDescent="0.3">
      <c r="A84" t="s">
        <v>88</v>
      </c>
      <c r="B84">
        <v>10</v>
      </c>
      <c r="C84" t="s">
        <v>137</v>
      </c>
      <c r="D84" t="s">
        <v>137</v>
      </c>
      <c r="E84" t="s">
        <v>137</v>
      </c>
      <c r="F84">
        <v>0.9</v>
      </c>
      <c r="G84">
        <v>0.9</v>
      </c>
      <c r="H84">
        <v>5.0000000000000001E-3</v>
      </c>
      <c r="I84">
        <v>120</v>
      </c>
      <c r="J84">
        <v>82</v>
      </c>
      <c r="K84">
        <v>14.805918</v>
      </c>
      <c r="L84">
        <v>23.516273000000002</v>
      </c>
      <c r="M84">
        <v>654.15</v>
      </c>
      <c r="N84" t="s">
        <v>137</v>
      </c>
      <c r="O84" t="s">
        <v>137</v>
      </c>
      <c r="P84">
        <v>6.4710000000000002E-3</v>
      </c>
      <c r="Q84">
        <v>5.6597900000000001</v>
      </c>
      <c r="R84">
        <v>5.6662610000000004</v>
      </c>
      <c r="S84">
        <v>9.1396569999999997</v>
      </c>
      <c r="T84" t="s">
        <v>137</v>
      </c>
      <c r="U84" t="s">
        <v>137</v>
      </c>
      <c r="V84" t="s">
        <v>137</v>
      </c>
      <c r="W84" t="s">
        <v>137</v>
      </c>
      <c r="X84" t="s">
        <v>137</v>
      </c>
      <c r="Y84">
        <v>38.270000000000003</v>
      </c>
      <c r="Z84">
        <v>61.73</v>
      </c>
      <c r="AA84" t="s">
        <v>137</v>
      </c>
      <c r="AB84" t="s">
        <v>137</v>
      </c>
      <c r="AC84" t="s">
        <v>137</v>
      </c>
      <c r="AD84" t="s">
        <v>137</v>
      </c>
      <c r="AE84" t="s">
        <v>137</v>
      </c>
    </row>
    <row r="85" spans="1:31" x14ac:dyDescent="0.3">
      <c r="A85" t="s">
        <v>89</v>
      </c>
      <c r="B85">
        <v>10</v>
      </c>
      <c r="C85" t="s">
        <v>137</v>
      </c>
      <c r="D85" t="s">
        <v>137</v>
      </c>
      <c r="E85" t="s">
        <v>137</v>
      </c>
      <c r="F85">
        <v>0.9</v>
      </c>
      <c r="G85">
        <v>0.9</v>
      </c>
      <c r="H85">
        <v>5.0000000000000001E-3</v>
      </c>
      <c r="I85">
        <v>120</v>
      </c>
      <c r="J85">
        <v>90</v>
      </c>
      <c r="K85">
        <v>4.0619509999999996</v>
      </c>
      <c r="L85">
        <v>9.6666629999999998</v>
      </c>
      <c r="M85">
        <v>227.47</v>
      </c>
      <c r="N85" t="s">
        <v>137</v>
      </c>
      <c r="O85" t="s">
        <v>137</v>
      </c>
      <c r="P85">
        <v>6.1110000000000001E-3</v>
      </c>
      <c r="Q85">
        <v>2.106579</v>
      </c>
      <c r="R85">
        <v>2.1126900000000002</v>
      </c>
      <c r="S85">
        <v>1.9492609999999999</v>
      </c>
      <c r="T85" t="s">
        <v>137</v>
      </c>
      <c r="U85" t="s">
        <v>137</v>
      </c>
      <c r="V85" t="s">
        <v>137</v>
      </c>
      <c r="W85" t="s">
        <v>137</v>
      </c>
      <c r="X85" t="s">
        <v>137</v>
      </c>
      <c r="Y85">
        <v>52.01</v>
      </c>
      <c r="Z85">
        <v>47.99</v>
      </c>
      <c r="AA85" t="s">
        <v>137</v>
      </c>
      <c r="AB85" t="s">
        <v>137</v>
      </c>
      <c r="AC85" t="s">
        <v>137</v>
      </c>
      <c r="AD85" t="s">
        <v>137</v>
      </c>
      <c r="AE85" t="s">
        <v>137</v>
      </c>
    </row>
    <row r="86" spans="1:31" x14ac:dyDescent="0.3">
      <c r="A86" t="s">
        <v>90</v>
      </c>
      <c r="B86">
        <v>10</v>
      </c>
      <c r="C86" t="s">
        <v>137</v>
      </c>
      <c r="D86" t="s">
        <v>137</v>
      </c>
      <c r="E86" t="s">
        <v>137</v>
      </c>
      <c r="F86">
        <v>0.9</v>
      </c>
      <c r="G86">
        <v>0.9</v>
      </c>
      <c r="H86">
        <v>5.0000000000000001E-3</v>
      </c>
      <c r="I86">
        <v>120</v>
      </c>
      <c r="J86">
        <v>78</v>
      </c>
      <c r="K86">
        <v>12.406715999999999</v>
      </c>
      <c r="L86">
        <v>22.716678000000002</v>
      </c>
      <c r="M86">
        <v>577.85</v>
      </c>
      <c r="N86" t="s">
        <v>137</v>
      </c>
      <c r="O86" t="s">
        <v>137</v>
      </c>
      <c r="P86">
        <v>5.7670000000000004E-3</v>
      </c>
      <c r="Q86">
        <v>4.678166</v>
      </c>
      <c r="R86">
        <v>4.6839329999999997</v>
      </c>
      <c r="S86">
        <v>7.7227839999999999</v>
      </c>
      <c r="T86" t="s">
        <v>137</v>
      </c>
      <c r="U86" t="s">
        <v>137</v>
      </c>
      <c r="V86" t="s">
        <v>137</v>
      </c>
      <c r="W86" t="s">
        <v>137</v>
      </c>
      <c r="X86" t="s">
        <v>137</v>
      </c>
      <c r="Y86">
        <v>37.75</v>
      </c>
      <c r="Z86">
        <v>62.25</v>
      </c>
      <c r="AA86" t="s">
        <v>137</v>
      </c>
      <c r="AB86" t="s">
        <v>137</v>
      </c>
      <c r="AC86" t="s">
        <v>137</v>
      </c>
      <c r="AD86" t="s">
        <v>137</v>
      </c>
      <c r="AE86" t="s">
        <v>137</v>
      </c>
    </row>
    <row r="87" spans="1:31" x14ac:dyDescent="0.3">
      <c r="A87" t="s">
        <v>91</v>
      </c>
      <c r="B87">
        <v>10</v>
      </c>
      <c r="C87" t="s">
        <v>137</v>
      </c>
      <c r="D87" t="s">
        <v>137</v>
      </c>
      <c r="E87" t="s">
        <v>137</v>
      </c>
      <c r="F87">
        <v>0.9</v>
      </c>
      <c r="G87">
        <v>0.9</v>
      </c>
      <c r="H87">
        <v>5.0000000000000001E-3</v>
      </c>
      <c r="I87">
        <v>120</v>
      </c>
      <c r="J87">
        <v>41</v>
      </c>
      <c r="K87">
        <v>17.740870000000001</v>
      </c>
      <c r="L87">
        <v>30.912541000000001</v>
      </c>
      <c r="M87">
        <v>921.05</v>
      </c>
      <c r="N87" t="s">
        <v>137</v>
      </c>
      <c r="O87" t="s">
        <v>137</v>
      </c>
      <c r="P87">
        <v>5.7530000000000003E-3</v>
      </c>
      <c r="Q87">
        <v>5.3110080000000002</v>
      </c>
      <c r="R87">
        <v>5.3167609999999996</v>
      </c>
      <c r="S87">
        <v>12.424109</v>
      </c>
      <c r="T87" t="s">
        <v>137</v>
      </c>
      <c r="U87" t="s">
        <v>137</v>
      </c>
      <c r="V87" t="s">
        <v>137</v>
      </c>
      <c r="W87" t="s">
        <v>137</v>
      </c>
      <c r="X87" t="s">
        <v>137</v>
      </c>
      <c r="Y87">
        <v>29.97</v>
      </c>
      <c r="Z87">
        <v>70.03</v>
      </c>
      <c r="AA87" t="s">
        <v>137</v>
      </c>
      <c r="AB87" t="s">
        <v>137</v>
      </c>
      <c r="AC87" t="s">
        <v>137</v>
      </c>
      <c r="AD87" t="s">
        <v>137</v>
      </c>
      <c r="AE87" t="s">
        <v>137</v>
      </c>
    </row>
    <row r="88" spans="1:31" x14ac:dyDescent="0.3">
      <c r="A88" t="s">
        <v>92</v>
      </c>
      <c r="B88">
        <v>10</v>
      </c>
      <c r="C88" t="s">
        <v>137</v>
      </c>
      <c r="D88" t="s">
        <v>137</v>
      </c>
      <c r="E88" t="s">
        <v>137</v>
      </c>
      <c r="F88">
        <v>0.9</v>
      </c>
      <c r="G88">
        <v>0.9</v>
      </c>
      <c r="H88">
        <v>5.0000000000000001E-3</v>
      </c>
      <c r="I88">
        <v>120</v>
      </c>
      <c r="J88">
        <v>58</v>
      </c>
      <c r="K88">
        <v>14.043323000000001</v>
      </c>
      <c r="L88">
        <v>23.362200999999999</v>
      </c>
      <c r="M88">
        <v>689.45</v>
      </c>
      <c r="N88" t="s">
        <v>137</v>
      </c>
      <c r="O88" t="s">
        <v>137</v>
      </c>
      <c r="P88">
        <v>6.0140000000000002E-3</v>
      </c>
      <c r="Q88">
        <v>5.525722</v>
      </c>
      <c r="R88">
        <v>5.5317369999999997</v>
      </c>
      <c r="S88">
        <v>8.5115859999999994</v>
      </c>
      <c r="T88" t="s">
        <v>137</v>
      </c>
      <c r="U88" t="s">
        <v>137</v>
      </c>
      <c r="V88" t="s">
        <v>137</v>
      </c>
      <c r="W88" t="s">
        <v>137</v>
      </c>
      <c r="X88" t="s">
        <v>137</v>
      </c>
      <c r="Y88">
        <v>39.39</v>
      </c>
      <c r="Z88">
        <v>60.61</v>
      </c>
      <c r="AA88" t="s">
        <v>137</v>
      </c>
      <c r="AB88" t="s">
        <v>137</v>
      </c>
      <c r="AC88" t="s">
        <v>137</v>
      </c>
      <c r="AD88" t="s">
        <v>137</v>
      </c>
      <c r="AE88" t="s">
        <v>137</v>
      </c>
    </row>
    <row r="89" spans="1:31" x14ac:dyDescent="0.3">
      <c r="A89" t="s">
        <v>93</v>
      </c>
      <c r="B89">
        <v>10</v>
      </c>
      <c r="C89" t="s">
        <v>137</v>
      </c>
      <c r="D89" t="s">
        <v>137</v>
      </c>
      <c r="E89" t="s">
        <v>137</v>
      </c>
      <c r="F89">
        <v>0.9</v>
      </c>
      <c r="G89">
        <v>0.9</v>
      </c>
      <c r="H89">
        <v>5.0000000000000001E-3</v>
      </c>
      <c r="I89">
        <v>120</v>
      </c>
      <c r="J89">
        <v>74</v>
      </c>
      <c r="K89">
        <v>14.312984999999999</v>
      </c>
      <c r="L89">
        <v>24.102336000000001</v>
      </c>
      <c r="M89">
        <v>976.65</v>
      </c>
      <c r="N89" t="s">
        <v>137</v>
      </c>
      <c r="O89" t="s">
        <v>137</v>
      </c>
      <c r="P89">
        <v>6.4489999999999999E-3</v>
      </c>
      <c r="Q89">
        <v>5.3035449999999997</v>
      </c>
      <c r="R89">
        <v>5.3099939999999997</v>
      </c>
      <c r="S89">
        <v>9.0029920000000008</v>
      </c>
      <c r="T89" t="s">
        <v>137</v>
      </c>
      <c r="U89" t="s">
        <v>137</v>
      </c>
      <c r="V89" t="s">
        <v>137</v>
      </c>
      <c r="W89" t="s">
        <v>137</v>
      </c>
      <c r="X89" t="s">
        <v>137</v>
      </c>
      <c r="Y89">
        <v>37.1</v>
      </c>
      <c r="Z89">
        <v>62.9</v>
      </c>
      <c r="AA89" t="s">
        <v>137</v>
      </c>
      <c r="AB89" t="s">
        <v>137</v>
      </c>
      <c r="AC89" t="s">
        <v>137</v>
      </c>
      <c r="AD89" t="s">
        <v>137</v>
      </c>
      <c r="AE89" t="s">
        <v>137</v>
      </c>
    </row>
    <row r="90" spans="1:31" x14ac:dyDescent="0.3">
      <c r="A90" t="s">
        <v>94</v>
      </c>
      <c r="B90">
        <v>10</v>
      </c>
      <c r="C90" t="s">
        <v>137</v>
      </c>
      <c r="D90" t="s">
        <v>137</v>
      </c>
      <c r="E90" t="s">
        <v>137</v>
      </c>
      <c r="F90">
        <v>0.9</v>
      </c>
      <c r="G90">
        <v>0.9</v>
      </c>
      <c r="H90">
        <v>5.0000000000000001E-3</v>
      </c>
      <c r="I90">
        <v>120</v>
      </c>
      <c r="J90">
        <v>59</v>
      </c>
      <c r="K90">
        <v>7.5964039999999997</v>
      </c>
      <c r="L90">
        <v>18.079874</v>
      </c>
      <c r="M90">
        <v>454.29</v>
      </c>
      <c r="N90" t="s">
        <v>137</v>
      </c>
      <c r="O90" t="s">
        <v>137</v>
      </c>
      <c r="P90">
        <v>6.2579999999999997E-3</v>
      </c>
      <c r="Q90">
        <v>2.9499590000000002</v>
      </c>
      <c r="R90">
        <v>2.9562170000000001</v>
      </c>
      <c r="S90">
        <v>4.6401870000000001</v>
      </c>
      <c r="T90" t="s">
        <v>137</v>
      </c>
      <c r="U90" t="s">
        <v>137</v>
      </c>
      <c r="V90" t="s">
        <v>137</v>
      </c>
      <c r="W90" t="s">
        <v>137</v>
      </c>
      <c r="X90" t="s">
        <v>137</v>
      </c>
      <c r="Y90">
        <v>38.92</v>
      </c>
      <c r="Z90">
        <v>61.08</v>
      </c>
      <c r="AA90" t="s">
        <v>137</v>
      </c>
      <c r="AB90" t="s">
        <v>137</v>
      </c>
      <c r="AC90" t="s">
        <v>137</v>
      </c>
      <c r="AD90" t="s">
        <v>137</v>
      </c>
      <c r="AE90" t="s">
        <v>137</v>
      </c>
    </row>
    <row r="91" spans="1:31" x14ac:dyDescent="0.3">
      <c r="A91" t="s">
        <v>95</v>
      </c>
      <c r="B91">
        <v>10</v>
      </c>
      <c r="C91" t="s">
        <v>137</v>
      </c>
      <c r="D91" t="s">
        <v>137</v>
      </c>
      <c r="E91" t="s">
        <v>137</v>
      </c>
      <c r="F91">
        <v>0.9</v>
      </c>
      <c r="G91">
        <v>0.9</v>
      </c>
      <c r="H91">
        <v>5.0000000000000001E-3</v>
      </c>
      <c r="I91">
        <v>120</v>
      </c>
      <c r="J91">
        <v>88</v>
      </c>
      <c r="K91">
        <v>7.0089480000000002</v>
      </c>
      <c r="L91">
        <v>17.853907</v>
      </c>
      <c r="M91">
        <v>365.39</v>
      </c>
      <c r="N91" t="s">
        <v>137</v>
      </c>
      <c r="O91" t="s">
        <v>137</v>
      </c>
      <c r="P91">
        <v>6.7479999999999997E-3</v>
      </c>
      <c r="Q91">
        <v>2.7754289999999999</v>
      </c>
      <c r="R91">
        <v>2.7821769999999999</v>
      </c>
      <c r="S91">
        <v>4.2267700000000001</v>
      </c>
      <c r="T91" t="s">
        <v>137</v>
      </c>
      <c r="U91" t="s">
        <v>137</v>
      </c>
      <c r="V91" t="s">
        <v>137</v>
      </c>
      <c r="W91" t="s">
        <v>137</v>
      </c>
      <c r="X91" t="s">
        <v>137</v>
      </c>
      <c r="Y91">
        <v>39.69</v>
      </c>
      <c r="Z91">
        <v>60.31</v>
      </c>
      <c r="AA91" t="s">
        <v>137</v>
      </c>
      <c r="AB91" t="s">
        <v>137</v>
      </c>
      <c r="AC91" t="s">
        <v>137</v>
      </c>
      <c r="AD91" t="s">
        <v>137</v>
      </c>
      <c r="AE91" t="s">
        <v>137</v>
      </c>
    </row>
    <row r="92" spans="1:31" x14ac:dyDescent="0.3">
      <c r="A92" t="s">
        <v>96</v>
      </c>
      <c r="B92">
        <v>10</v>
      </c>
      <c r="C92" t="s">
        <v>137</v>
      </c>
      <c r="D92" t="s">
        <v>137</v>
      </c>
      <c r="E92" t="s">
        <v>137</v>
      </c>
      <c r="F92">
        <v>0.9</v>
      </c>
      <c r="G92">
        <v>0.9</v>
      </c>
      <c r="H92">
        <v>5.0000000000000001E-3</v>
      </c>
      <c r="I92">
        <v>120</v>
      </c>
      <c r="J92">
        <v>72</v>
      </c>
      <c r="K92">
        <v>3.5508869999999999</v>
      </c>
      <c r="L92">
        <v>15.075018999999999</v>
      </c>
      <c r="M92">
        <v>228.46</v>
      </c>
      <c r="N92" t="s">
        <v>137</v>
      </c>
      <c r="O92" t="s">
        <v>137</v>
      </c>
      <c r="P92">
        <v>6.3550000000000004E-3</v>
      </c>
      <c r="Q92">
        <v>1.340376</v>
      </c>
      <c r="R92">
        <v>1.3467309999999999</v>
      </c>
      <c r="S92">
        <v>2.2041569999999999</v>
      </c>
      <c r="T92" t="s">
        <v>137</v>
      </c>
      <c r="U92" t="s">
        <v>137</v>
      </c>
      <c r="V92" t="s">
        <v>137</v>
      </c>
      <c r="W92" t="s">
        <v>137</v>
      </c>
      <c r="X92" t="s">
        <v>137</v>
      </c>
      <c r="Y92">
        <v>37.93</v>
      </c>
      <c r="Z92">
        <v>62.07</v>
      </c>
      <c r="AA92" t="s">
        <v>137</v>
      </c>
      <c r="AB92" t="s">
        <v>137</v>
      </c>
      <c r="AC92" t="s">
        <v>137</v>
      </c>
      <c r="AD92" t="s">
        <v>137</v>
      </c>
      <c r="AE92" t="s">
        <v>137</v>
      </c>
    </row>
    <row r="93" spans="1:31" x14ac:dyDescent="0.3">
      <c r="A93" t="s">
        <v>97</v>
      </c>
      <c r="B93">
        <v>10</v>
      </c>
      <c r="C93" t="s">
        <v>137</v>
      </c>
      <c r="D93" t="s">
        <v>137</v>
      </c>
      <c r="E93" t="s">
        <v>137</v>
      </c>
      <c r="F93">
        <v>0.9</v>
      </c>
      <c r="G93">
        <v>0.9</v>
      </c>
      <c r="H93">
        <v>5.0000000000000001E-3</v>
      </c>
      <c r="I93">
        <v>120</v>
      </c>
      <c r="J93">
        <v>86</v>
      </c>
      <c r="K93">
        <v>3.23421</v>
      </c>
      <c r="L93">
        <v>7.541639</v>
      </c>
      <c r="M93">
        <v>196.74</v>
      </c>
      <c r="N93" t="s">
        <v>137</v>
      </c>
      <c r="O93" t="s">
        <v>137</v>
      </c>
      <c r="P93">
        <v>6.1409999999999998E-3</v>
      </c>
      <c r="Q93">
        <v>1.8921790000000001</v>
      </c>
      <c r="R93">
        <v>1.89832</v>
      </c>
      <c r="S93">
        <v>1.33589</v>
      </c>
      <c r="T93" t="s">
        <v>137</v>
      </c>
      <c r="U93" t="s">
        <v>137</v>
      </c>
      <c r="V93" t="s">
        <v>137</v>
      </c>
      <c r="W93" t="s">
        <v>137</v>
      </c>
      <c r="X93" t="s">
        <v>137</v>
      </c>
      <c r="Y93">
        <v>58.7</v>
      </c>
      <c r="Z93">
        <v>41.3</v>
      </c>
      <c r="AA93" t="s">
        <v>137</v>
      </c>
      <c r="AB93" t="s">
        <v>137</v>
      </c>
      <c r="AC93" t="s">
        <v>137</v>
      </c>
      <c r="AD93" t="s">
        <v>137</v>
      </c>
      <c r="AE93" t="s">
        <v>137</v>
      </c>
    </row>
    <row r="94" spans="1:31" x14ac:dyDescent="0.3">
      <c r="A94" t="s">
        <v>98</v>
      </c>
      <c r="B94">
        <v>10</v>
      </c>
      <c r="C94" t="s">
        <v>137</v>
      </c>
      <c r="D94" t="s">
        <v>137</v>
      </c>
      <c r="E94" t="s">
        <v>137</v>
      </c>
      <c r="F94">
        <v>0.9</v>
      </c>
      <c r="G94">
        <v>0.9</v>
      </c>
      <c r="H94">
        <v>5.0000000000000001E-3</v>
      </c>
      <c r="I94">
        <v>120</v>
      </c>
      <c r="J94">
        <v>69</v>
      </c>
      <c r="K94">
        <v>4.3950699999999996</v>
      </c>
      <c r="L94">
        <v>12.187194999999999</v>
      </c>
      <c r="M94">
        <v>249.58</v>
      </c>
      <c r="N94" t="s">
        <v>137</v>
      </c>
      <c r="O94" t="s">
        <v>137</v>
      </c>
      <c r="P94">
        <v>5.4320000000000002E-3</v>
      </c>
      <c r="Q94">
        <v>1.973679</v>
      </c>
      <c r="R94">
        <v>1.9791110000000001</v>
      </c>
      <c r="S94">
        <v>2.415959</v>
      </c>
      <c r="T94" t="s">
        <v>137</v>
      </c>
      <c r="U94" t="s">
        <v>137</v>
      </c>
      <c r="V94" t="s">
        <v>137</v>
      </c>
      <c r="W94" t="s">
        <v>137</v>
      </c>
      <c r="X94" t="s">
        <v>137</v>
      </c>
      <c r="Y94">
        <v>45.03</v>
      </c>
      <c r="Z94">
        <v>54.97</v>
      </c>
      <c r="AA94" t="s">
        <v>137</v>
      </c>
      <c r="AB94" t="s">
        <v>137</v>
      </c>
      <c r="AC94" t="s">
        <v>137</v>
      </c>
      <c r="AD94" t="s">
        <v>137</v>
      </c>
      <c r="AE94" t="s">
        <v>137</v>
      </c>
    </row>
    <row r="95" spans="1:31" x14ac:dyDescent="0.3">
      <c r="A95" t="s">
        <v>99</v>
      </c>
      <c r="B95">
        <v>10</v>
      </c>
      <c r="C95" t="s">
        <v>137</v>
      </c>
      <c r="D95" t="s">
        <v>137</v>
      </c>
      <c r="E95" t="s">
        <v>137</v>
      </c>
      <c r="F95">
        <v>0.9</v>
      </c>
      <c r="G95">
        <v>0.9</v>
      </c>
      <c r="H95">
        <v>5.0000000000000001E-3</v>
      </c>
      <c r="I95">
        <v>120</v>
      </c>
      <c r="J95">
        <v>77</v>
      </c>
      <c r="K95">
        <v>4.3819790000000003</v>
      </c>
      <c r="L95">
        <v>10.758867</v>
      </c>
      <c r="M95">
        <v>298.73</v>
      </c>
      <c r="N95" t="s">
        <v>137</v>
      </c>
      <c r="O95" t="s">
        <v>137</v>
      </c>
      <c r="P95">
        <v>6.4429999999999999E-3</v>
      </c>
      <c r="Q95">
        <v>2.1667190000000001</v>
      </c>
      <c r="R95">
        <v>2.173162</v>
      </c>
      <c r="S95">
        <v>2.2088169999999998</v>
      </c>
      <c r="T95" t="s">
        <v>137</v>
      </c>
      <c r="U95" t="s">
        <v>137</v>
      </c>
      <c r="V95" t="s">
        <v>137</v>
      </c>
      <c r="W95" t="s">
        <v>137</v>
      </c>
      <c r="X95" t="s">
        <v>137</v>
      </c>
      <c r="Y95">
        <v>49.59</v>
      </c>
      <c r="Z95">
        <v>50.41</v>
      </c>
      <c r="AA95" t="s">
        <v>137</v>
      </c>
      <c r="AB95" t="s">
        <v>137</v>
      </c>
      <c r="AC95" t="s">
        <v>137</v>
      </c>
      <c r="AD95" t="s">
        <v>137</v>
      </c>
      <c r="AE95" t="s">
        <v>137</v>
      </c>
    </row>
    <row r="96" spans="1:31" x14ac:dyDescent="0.3">
      <c r="A96" t="s">
        <v>100</v>
      </c>
      <c r="B96">
        <v>10</v>
      </c>
      <c r="C96" t="s">
        <v>137</v>
      </c>
      <c r="D96" t="s">
        <v>137</v>
      </c>
      <c r="E96" t="s">
        <v>137</v>
      </c>
      <c r="F96">
        <v>0.9</v>
      </c>
      <c r="G96">
        <v>0.9</v>
      </c>
      <c r="H96">
        <v>5.0000000000000001E-3</v>
      </c>
      <c r="I96">
        <v>120</v>
      </c>
      <c r="J96">
        <v>77</v>
      </c>
      <c r="K96">
        <v>18.860821999999999</v>
      </c>
      <c r="L96">
        <v>24.584129000000001</v>
      </c>
      <c r="M96">
        <v>1015.56</v>
      </c>
      <c r="N96" t="s">
        <v>137</v>
      </c>
      <c r="O96" t="s">
        <v>137</v>
      </c>
      <c r="P96">
        <v>7.1609999999999998E-3</v>
      </c>
      <c r="Q96">
        <v>7.4734420000000004</v>
      </c>
      <c r="R96">
        <v>7.4806030000000003</v>
      </c>
      <c r="S96">
        <v>11.38022</v>
      </c>
      <c r="T96" t="s">
        <v>137</v>
      </c>
      <c r="U96" t="s">
        <v>137</v>
      </c>
      <c r="V96" t="s">
        <v>137</v>
      </c>
      <c r="W96" t="s">
        <v>137</v>
      </c>
      <c r="X96" t="s">
        <v>137</v>
      </c>
      <c r="Y96">
        <v>39.659999999999997</v>
      </c>
      <c r="Z96">
        <v>60.34</v>
      </c>
      <c r="AA96" t="s">
        <v>137</v>
      </c>
      <c r="AB96" t="s">
        <v>137</v>
      </c>
      <c r="AC96" t="s">
        <v>137</v>
      </c>
      <c r="AD96" t="s">
        <v>137</v>
      </c>
      <c r="AE96" t="s">
        <v>137</v>
      </c>
    </row>
    <row r="97" spans="1:31" x14ac:dyDescent="0.3">
      <c r="A97" t="s">
        <v>101</v>
      </c>
      <c r="B97">
        <v>10</v>
      </c>
      <c r="C97" t="s">
        <v>137</v>
      </c>
      <c r="D97" t="s">
        <v>137</v>
      </c>
      <c r="E97" t="s">
        <v>137</v>
      </c>
      <c r="F97">
        <v>0.9</v>
      </c>
      <c r="G97">
        <v>0.9</v>
      </c>
      <c r="H97">
        <v>5.0000000000000001E-3</v>
      </c>
      <c r="I97">
        <v>120</v>
      </c>
      <c r="J97">
        <v>41</v>
      </c>
      <c r="K97">
        <v>6.579447</v>
      </c>
      <c r="L97">
        <v>17.291771000000001</v>
      </c>
      <c r="M97">
        <v>350.41</v>
      </c>
      <c r="N97" t="s">
        <v>137</v>
      </c>
      <c r="O97" t="s">
        <v>137</v>
      </c>
      <c r="P97">
        <v>5.9630000000000004E-3</v>
      </c>
      <c r="Q97">
        <v>2.5767319999999998</v>
      </c>
      <c r="R97">
        <v>2.5826950000000002</v>
      </c>
      <c r="S97">
        <v>3.9967519999999999</v>
      </c>
      <c r="T97" t="s">
        <v>137</v>
      </c>
      <c r="U97" t="s">
        <v>137</v>
      </c>
      <c r="V97" t="s">
        <v>137</v>
      </c>
      <c r="W97" t="s">
        <v>137</v>
      </c>
      <c r="X97" t="s">
        <v>137</v>
      </c>
      <c r="Y97">
        <v>39.25</v>
      </c>
      <c r="Z97">
        <v>60.75</v>
      </c>
      <c r="AA97" t="s">
        <v>137</v>
      </c>
      <c r="AB97" t="s">
        <v>137</v>
      </c>
      <c r="AC97" t="s">
        <v>137</v>
      </c>
      <c r="AD97" t="s">
        <v>137</v>
      </c>
      <c r="AE97" t="s">
        <v>137</v>
      </c>
    </row>
    <row r="98" spans="1:31" x14ac:dyDescent="0.3">
      <c r="A98" t="s">
        <v>102</v>
      </c>
      <c r="B98">
        <v>10</v>
      </c>
      <c r="C98" t="s">
        <v>137</v>
      </c>
      <c r="D98" t="s">
        <v>137</v>
      </c>
      <c r="E98" t="s">
        <v>137</v>
      </c>
      <c r="F98">
        <v>0.9</v>
      </c>
      <c r="G98">
        <v>0.9</v>
      </c>
      <c r="H98">
        <v>5.0000000000000001E-3</v>
      </c>
      <c r="I98">
        <v>120</v>
      </c>
      <c r="J98">
        <v>90</v>
      </c>
      <c r="K98">
        <v>0.73891399999999996</v>
      </c>
      <c r="L98">
        <v>4.4223249999999998</v>
      </c>
      <c r="M98">
        <v>54.31</v>
      </c>
      <c r="N98" t="s">
        <v>137</v>
      </c>
      <c r="O98" t="s">
        <v>137</v>
      </c>
      <c r="P98">
        <v>6.4999999999999997E-3</v>
      </c>
      <c r="Q98">
        <v>0.37979400000000002</v>
      </c>
      <c r="R98">
        <v>0.38629400000000003</v>
      </c>
      <c r="S98">
        <v>0.35262100000000002</v>
      </c>
      <c r="T98" t="s">
        <v>137</v>
      </c>
      <c r="U98" t="s">
        <v>137</v>
      </c>
      <c r="V98" t="s">
        <v>137</v>
      </c>
      <c r="W98" t="s">
        <v>137</v>
      </c>
      <c r="X98" t="s">
        <v>137</v>
      </c>
      <c r="Y98">
        <v>52.28</v>
      </c>
      <c r="Z98">
        <v>47.72</v>
      </c>
      <c r="AA98" t="s">
        <v>137</v>
      </c>
      <c r="AB98" t="s">
        <v>137</v>
      </c>
      <c r="AC98" t="s">
        <v>137</v>
      </c>
      <c r="AD98" t="s">
        <v>137</v>
      </c>
      <c r="AE98" t="s">
        <v>137</v>
      </c>
    </row>
    <row r="99" spans="1:31" x14ac:dyDescent="0.3">
      <c r="A99" t="s">
        <v>103</v>
      </c>
      <c r="B99">
        <v>10</v>
      </c>
      <c r="C99" t="s">
        <v>137</v>
      </c>
      <c r="D99" t="s">
        <v>137</v>
      </c>
      <c r="E99" t="s">
        <v>137</v>
      </c>
      <c r="F99">
        <v>0.9</v>
      </c>
      <c r="G99">
        <v>0.9</v>
      </c>
      <c r="H99">
        <v>5.0000000000000001E-3</v>
      </c>
      <c r="I99">
        <v>120</v>
      </c>
      <c r="J99">
        <v>55</v>
      </c>
      <c r="K99">
        <v>9.8197930000000007</v>
      </c>
      <c r="L99">
        <v>20.807158000000001</v>
      </c>
      <c r="M99">
        <v>556.62</v>
      </c>
      <c r="N99" t="s">
        <v>137</v>
      </c>
      <c r="O99" t="s">
        <v>137</v>
      </c>
      <c r="P99">
        <v>6.5069999999999998E-3</v>
      </c>
      <c r="Q99">
        <v>3.6901920000000001</v>
      </c>
      <c r="R99">
        <v>3.6966990000000002</v>
      </c>
      <c r="S99">
        <v>6.1230929999999999</v>
      </c>
      <c r="T99" t="s">
        <v>137</v>
      </c>
      <c r="U99" t="s">
        <v>137</v>
      </c>
      <c r="V99" t="s">
        <v>137</v>
      </c>
      <c r="W99" t="s">
        <v>137</v>
      </c>
      <c r="X99" t="s">
        <v>137</v>
      </c>
      <c r="Y99">
        <v>37.65</v>
      </c>
      <c r="Z99">
        <v>62.35</v>
      </c>
      <c r="AA99" t="s">
        <v>137</v>
      </c>
      <c r="AB99" t="s">
        <v>137</v>
      </c>
      <c r="AC99" t="s">
        <v>137</v>
      </c>
      <c r="AD99" t="s">
        <v>137</v>
      </c>
      <c r="AE99" t="s">
        <v>137</v>
      </c>
    </row>
    <row r="100" spans="1:31" x14ac:dyDescent="0.3">
      <c r="A100" t="s">
        <v>104</v>
      </c>
      <c r="B100">
        <v>10</v>
      </c>
      <c r="C100" t="s">
        <v>137</v>
      </c>
      <c r="D100" t="s">
        <v>137</v>
      </c>
      <c r="E100" t="s">
        <v>137</v>
      </c>
      <c r="F100">
        <v>0.9</v>
      </c>
      <c r="G100">
        <v>0.9</v>
      </c>
      <c r="H100">
        <v>5.0000000000000001E-3</v>
      </c>
      <c r="I100">
        <v>120</v>
      </c>
      <c r="J100">
        <v>58</v>
      </c>
      <c r="K100">
        <v>10.047482</v>
      </c>
      <c r="L100">
        <v>19.745674000000001</v>
      </c>
      <c r="M100">
        <v>499.71</v>
      </c>
      <c r="N100" t="s">
        <v>137</v>
      </c>
      <c r="O100" t="s">
        <v>137</v>
      </c>
      <c r="P100">
        <v>5.5700000000000003E-3</v>
      </c>
      <c r="Q100">
        <v>3.8167620000000002</v>
      </c>
      <c r="R100">
        <v>3.8223310000000001</v>
      </c>
      <c r="S100">
        <v>6.2251510000000003</v>
      </c>
      <c r="T100" t="s">
        <v>137</v>
      </c>
      <c r="U100" t="s">
        <v>137</v>
      </c>
      <c r="V100" t="s">
        <v>137</v>
      </c>
      <c r="W100" t="s">
        <v>137</v>
      </c>
      <c r="X100" t="s">
        <v>137</v>
      </c>
      <c r="Y100">
        <v>38.04</v>
      </c>
      <c r="Z100">
        <v>61.96</v>
      </c>
      <c r="AA100" t="s">
        <v>137</v>
      </c>
      <c r="AB100" t="s">
        <v>137</v>
      </c>
      <c r="AC100" t="s">
        <v>137</v>
      </c>
      <c r="AD100" t="s">
        <v>137</v>
      </c>
      <c r="AE100" t="s">
        <v>137</v>
      </c>
    </row>
    <row r="101" spans="1:31" x14ac:dyDescent="0.3">
      <c r="A101" t="s">
        <v>105</v>
      </c>
      <c r="B101">
        <v>10</v>
      </c>
      <c r="C101" t="s">
        <v>137</v>
      </c>
      <c r="D101" t="s">
        <v>137</v>
      </c>
      <c r="E101" t="s">
        <v>137</v>
      </c>
      <c r="F101">
        <v>0.9</v>
      </c>
      <c r="G101">
        <v>0.9</v>
      </c>
      <c r="H101">
        <v>5.0000000000000001E-3</v>
      </c>
      <c r="I101">
        <v>120</v>
      </c>
      <c r="J101">
        <v>61</v>
      </c>
      <c r="K101">
        <v>9.556908</v>
      </c>
      <c r="L101">
        <v>22.460146999999999</v>
      </c>
      <c r="M101">
        <v>675</v>
      </c>
      <c r="N101" t="s">
        <v>137</v>
      </c>
      <c r="O101" t="s">
        <v>137</v>
      </c>
      <c r="P101">
        <v>5.3990000000000002E-3</v>
      </c>
      <c r="Q101">
        <v>2.9309829999999999</v>
      </c>
      <c r="R101">
        <v>2.936382</v>
      </c>
      <c r="S101">
        <v>6.6205259999999999</v>
      </c>
      <c r="T101" t="s">
        <v>137</v>
      </c>
      <c r="U101" t="s">
        <v>137</v>
      </c>
      <c r="V101" t="s">
        <v>137</v>
      </c>
      <c r="W101" t="s">
        <v>137</v>
      </c>
      <c r="X101" t="s">
        <v>137</v>
      </c>
      <c r="Y101">
        <v>30.73</v>
      </c>
      <c r="Z101">
        <v>69.27</v>
      </c>
      <c r="AA101" t="s">
        <v>137</v>
      </c>
      <c r="AB101" t="s">
        <v>137</v>
      </c>
      <c r="AC101" t="s">
        <v>137</v>
      </c>
      <c r="AD101" t="s">
        <v>137</v>
      </c>
      <c r="AE101" t="s">
        <v>137</v>
      </c>
    </row>
  </sheetData>
  <sortState xmlns:xlrd2="http://schemas.microsoft.com/office/spreadsheetml/2017/richdata2" ref="A2:AE101">
    <sortCondition ref="A1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B1F7-F694-4782-88E7-F505E581FD99}">
  <dimension ref="A1:AE101"/>
  <sheetViews>
    <sheetView topLeftCell="A97" workbookViewId="0">
      <selection activeCell="B9" sqref="B9"/>
    </sheetView>
  </sheetViews>
  <sheetFormatPr defaultRowHeight="14.4" x14ac:dyDescent="0.3"/>
  <cols>
    <col min="1" max="1" width="18.77734375" customWidth="1"/>
    <col min="2" max="2" width="13.21875" customWidth="1"/>
    <col min="3" max="3" width="12.109375" customWidth="1"/>
    <col min="10" max="10" width="10.77734375" customWidth="1"/>
  </cols>
  <sheetData>
    <row r="1" spans="1:31" x14ac:dyDescent="0.3">
      <c r="A1" t="s">
        <v>106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  <c r="U1" t="s">
        <v>157</v>
      </c>
      <c r="V1" t="s">
        <v>158</v>
      </c>
      <c r="W1" t="s">
        <v>159</v>
      </c>
      <c r="X1" t="s">
        <v>160</v>
      </c>
      <c r="Y1" t="s">
        <v>161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167</v>
      </c>
    </row>
    <row r="2" spans="1:31" x14ac:dyDescent="0.3">
      <c r="A2" t="s">
        <v>6</v>
      </c>
      <c r="B2">
        <v>3</v>
      </c>
      <c r="C2" t="s">
        <v>137</v>
      </c>
      <c r="D2">
        <v>3</v>
      </c>
      <c r="E2">
        <v>2</v>
      </c>
      <c r="F2">
        <v>0.9</v>
      </c>
      <c r="G2">
        <v>0.9</v>
      </c>
      <c r="H2">
        <v>5.0000000000000001E-3</v>
      </c>
      <c r="I2">
        <v>120</v>
      </c>
      <c r="J2">
        <v>100</v>
      </c>
      <c r="K2">
        <v>3.3814129999999998</v>
      </c>
      <c r="L2">
        <v>2.5771540000000002</v>
      </c>
      <c r="M2">
        <v>123.66</v>
      </c>
      <c r="N2" t="s">
        <v>137</v>
      </c>
      <c r="O2" t="s">
        <v>137</v>
      </c>
      <c r="P2">
        <v>4.2420000000000001E-3</v>
      </c>
      <c r="Q2">
        <v>2.4695510000000001</v>
      </c>
      <c r="R2">
        <v>2.4737930000000001</v>
      </c>
      <c r="S2" t="s">
        <v>137</v>
      </c>
      <c r="T2">
        <v>0.90761899999999995</v>
      </c>
      <c r="U2">
        <v>2.4140000000000002E-2</v>
      </c>
      <c r="V2">
        <v>9.9700000000000006E-4</v>
      </c>
      <c r="W2">
        <v>1.1100000000000001E-3</v>
      </c>
      <c r="X2" t="s">
        <v>137</v>
      </c>
      <c r="Y2">
        <v>73.16</v>
      </c>
      <c r="Z2" t="s">
        <v>137</v>
      </c>
      <c r="AA2">
        <v>26.84</v>
      </c>
      <c r="AB2">
        <v>0.71</v>
      </c>
      <c r="AC2">
        <v>0.03</v>
      </c>
      <c r="AD2">
        <v>0.03</v>
      </c>
      <c r="AE2" t="s">
        <v>137</v>
      </c>
    </row>
    <row r="3" spans="1:31" x14ac:dyDescent="0.3">
      <c r="A3" t="s">
        <v>7</v>
      </c>
      <c r="B3">
        <v>3</v>
      </c>
      <c r="C3" t="s">
        <v>137</v>
      </c>
      <c r="D3">
        <v>3</v>
      </c>
      <c r="E3">
        <v>2</v>
      </c>
      <c r="F3">
        <v>0.9</v>
      </c>
      <c r="G3">
        <v>0.9</v>
      </c>
      <c r="H3">
        <v>5.0000000000000001E-3</v>
      </c>
      <c r="I3">
        <v>120</v>
      </c>
      <c r="J3">
        <v>100</v>
      </c>
      <c r="K3">
        <v>6.3167299999999997</v>
      </c>
      <c r="L3">
        <v>4.5192449999999997</v>
      </c>
      <c r="M3">
        <v>226.71</v>
      </c>
      <c r="N3" t="s">
        <v>137</v>
      </c>
      <c r="O3" t="s">
        <v>137</v>
      </c>
      <c r="P3">
        <v>4.267E-3</v>
      </c>
      <c r="Q3">
        <v>4.2383680000000004</v>
      </c>
      <c r="R3">
        <v>4.2426349999999999</v>
      </c>
      <c r="S3" t="s">
        <v>137</v>
      </c>
      <c r="T3">
        <v>2.0740949999999998</v>
      </c>
      <c r="U3">
        <v>4.4821E-2</v>
      </c>
      <c r="V3">
        <v>1.0020000000000001E-3</v>
      </c>
      <c r="W3">
        <v>2.209E-3</v>
      </c>
      <c r="X3" t="s">
        <v>137</v>
      </c>
      <c r="Y3">
        <v>67.17</v>
      </c>
      <c r="Z3" t="s">
        <v>137</v>
      </c>
      <c r="AA3">
        <v>32.83</v>
      </c>
      <c r="AB3">
        <v>0.71</v>
      </c>
      <c r="AC3">
        <v>0.02</v>
      </c>
      <c r="AD3">
        <v>0.03</v>
      </c>
      <c r="AE3" t="s">
        <v>137</v>
      </c>
    </row>
    <row r="4" spans="1:31" x14ac:dyDescent="0.3">
      <c r="A4" t="s">
        <v>8</v>
      </c>
      <c r="B4">
        <v>3</v>
      </c>
      <c r="C4" t="s">
        <v>137</v>
      </c>
      <c r="D4">
        <v>3</v>
      </c>
      <c r="E4">
        <v>2</v>
      </c>
      <c r="F4">
        <v>0.9</v>
      </c>
      <c r="G4">
        <v>0.9</v>
      </c>
      <c r="H4">
        <v>5.0000000000000001E-3</v>
      </c>
      <c r="I4">
        <v>120</v>
      </c>
      <c r="J4">
        <v>100</v>
      </c>
      <c r="K4">
        <v>8.1684230000000007</v>
      </c>
      <c r="L4">
        <v>5.7299930000000003</v>
      </c>
      <c r="M4">
        <v>296.14999999999998</v>
      </c>
      <c r="N4" t="s">
        <v>137</v>
      </c>
      <c r="O4" t="s">
        <v>137</v>
      </c>
      <c r="P4">
        <v>4.3299999999999996E-3</v>
      </c>
      <c r="Q4">
        <v>5.1462300000000001</v>
      </c>
      <c r="R4">
        <v>5.1505599999999996</v>
      </c>
      <c r="S4" t="s">
        <v>137</v>
      </c>
      <c r="T4">
        <v>3.0178630000000002</v>
      </c>
      <c r="U4">
        <v>5.8574000000000001E-2</v>
      </c>
      <c r="V4">
        <v>9.9299999999999996E-4</v>
      </c>
      <c r="W4">
        <v>2.6329999999999999E-3</v>
      </c>
      <c r="X4" t="s">
        <v>137</v>
      </c>
      <c r="Y4">
        <v>63.05</v>
      </c>
      <c r="Z4" t="s">
        <v>137</v>
      </c>
      <c r="AA4">
        <v>36.950000000000003</v>
      </c>
      <c r="AB4">
        <v>0.72</v>
      </c>
      <c r="AC4">
        <v>0.01</v>
      </c>
      <c r="AD4">
        <v>0.03</v>
      </c>
      <c r="AE4" t="s">
        <v>137</v>
      </c>
    </row>
    <row r="5" spans="1:31" x14ac:dyDescent="0.3">
      <c r="A5" t="s">
        <v>9</v>
      </c>
      <c r="B5">
        <v>3</v>
      </c>
      <c r="C5" t="s">
        <v>137</v>
      </c>
      <c r="D5">
        <v>3</v>
      </c>
      <c r="E5">
        <v>2</v>
      </c>
      <c r="F5">
        <v>0.9</v>
      </c>
      <c r="G5">
        <v>0.9</v>
      </c>
      <c r="H5">
        <v>5.0000000000000001E-3</v>
      </c>
      <c r="I5">
        <v>120</v>
      </c>
      <c r="J5">
        <v>100</v>
      </c>
      <c r="K5">
        <v>8.1981610000000007</v>
      </c>
      <c r="L5">
        <v>6.9730809999999996</v>
      </c>
      <c r="M5">
        <v>221.94</v>
      </c>
      <c r="N5" t="s">
        <v>137</v>
      </c>
      <c r="O5" t="s">
        <v>137</v>
      </c>
      <c r="P5">
        <v>5.6610000000000002E-3</v>
      </c>
      <c r="Q5">
        <v>5.576784</v>
      </c>
      <c r="R5">
        <v>5.5824449999999999</v>
      </c>
      <c r="S5" t="s">
        <v>137</v>
      </c>
      <c r="T5">
        <v>2.6157159999999999</v>
      </c>
      <c r="U5">
        <v>5.8742000000000003E-2</v>
      </c>
      <c r="V5">
        <v>1.209E-3</v>
      </c>
      <c r="W5">
        <v>2.6970000000000002E-3</v>
      </c>
      <c r="X5" t="s">
        <v>137</v>
      </c>
      <c r="Y5">
        <v>68.09</v>
      </c>
      <c r="Z5" t="s">
        <v>137</v>
      </c>
      <c r="AA5">
        <v>31.91</v>
      </c>
      <c r="AB5">
        <v>0.72</v>
      </c>
      <c r="AC5">
        <v>0.01</v>
      </c>
      <c r="AD5">
        <v>0.03</v>
      </c>
      <c r="AE5" t="s">
        <v>137</v>
      </c>
    </row>
    <row r="6" spans="1:31" x14ac:dyDescent="0.3">
      <c r="A6" t="s">
        <v>10</v>
      </c>
      <c r="B6">
        <v>3</v>
      </c>
      <c r="C6" t="s">
        <v>137</v>
      </c>
      <c r="D6">
        <v>3</v>
      </c>
      <c r="E6">
        <v>2</v>
      </c>
      <c r="F6">
        <v>0.9</v>
      </c>
      <c r="G6">
        <v>0.9</v>
      </c>
      <c r="H6">
        <v>5.0000000000000001E-3</v>
      </c>
      <c r="I6">
        <v>120</v>
      </c>
      <c r="J6">
        <v>100</v>
      </c>
      <c r="K6">
        <v>10.997398</v>
      </c>
      <c r="L6">
        <v>12.308337999999999</v>
      </c>
      <c r="M6">
        <v>293.92</v>
      </c>
      <c r="N6" t="s">
        <v>137</v>
      </c>
      <c r="O6" t="s">
        <v>137</v>
      </c>
      <c r="P6">
        <v>6.1669999999999997E-3</v>
      </c>
      <c r="Q6">
        <v>6.6471590000000003</v>
      </c>
      <c r="R6">
        <v>6.6533259999999999</v>
      </c>
      <c r="S6" t="s">
        <v>137</v>
      </c>
      <c r="T6">
        <v>4.3440729999999999</v>
      </c>
      <c r="U6">
        <v>8.3003999999999994E-2</v>
      </c>
      <c r="V6">
        <v>1.3799999999999999E-3</v>
      </c>
      <c r="W6">
        <v>3.8939999999999999E-3</v>
      </c>
      <c r="X6" t="s">
        <v>137</v>
      </c>
      <c r="Y6">
        <v>60.5</v>
      </c>
      <c r="Z6" t="s">
        <v>137</v>
      </c>
      <c r="AA6">
        <v>39.5</v>
      </c>
      <c r="AB6">
        <v>0.75</v>
      </c>
      <c r="AC6">
        <v>0.01</v>
      </c>
      <c r="AD6">
        <v>0.04</v>
      </c>
      <c r="AE6" t="s">
        <v>137</v>
      </c>
    </row>
    <row r="7" spans="1:31" x14ac:dyDescent="0.3">
      <c r="A7" t="s">
        <v>11</v>
      </c>
      <c r="B7">
        <v>3</v>
      </c>
      <c r="C7" t="s">
        <v>137</v>
      </c>
      <c r="D7">
        <v>3</v>
      </c>
      <c r="E7">
        <v>2</v>
      </c>
      <c r="F7">
        <v>0.9</v>
      </c>
      <c r="G7">
        <v>0.9</v>
      </c>
      <c r="H7">
        <v>5.0000000000000001E-3</v>
      </c>
      <c r="I7">
        <v>120</v>
      </c>
      <c r="J7">
        <v>100</v>
      </c>
      <c r="K7">
        <v>6.5547380000000004</v>
      </c>
      <c r="L7">
        <v>7.6562130000000002</v>
      </c>
      <c r="M7">
        <v>228.37</v>
      </c>
      <c r="N7" t="s">
        <v>137</v>
      </c>
      <c r="O7" t="s">
        <v>137</v>
      </c>
      <c r="P7">
        <v>4.2820000000000002E-3</v>
      </c>
      <c r="Q7">
        <v>4.1934060000000004</v>
      </c>
      <c r="R7">
        <v>4.1976880000000003</v>
      </c>
      <c r="S7" t="s">
        <v>137</v>
      </c>
      <c r="T7">
        <v>2.3570500000000001</v>
      </c>
      <c r="U7">
        <v>4.8031999999999998E-2</v>
      </c>
      <c r="V7">
        <v>1.0610000000000001E-3</v>
      </c>
      <c r="W7">
        <v>1.9940000000000001E-3</v>
      </c>
      <c r="X7" t="s">
        <v>137</v>
      </c>
      <c r="Y7">
        <v>64.040000000000006</v>
      </c>
      <c r="Z7" t="s">
        <v>137</v>
      </c>
      <c r="AA7">
        <v>35.96</v>
      </c>
      <c r="AB7">
        <v>0.73</v>
      </c>
      <c r="AC7">
        <v>0.02</v>
      </c>
      <c r="AD7">
        <v>0.03</v>
      </c>
      <c r="AE7" t="s">
        <v>137</v>
      </c>
    </row>
    <row r="8" spans="1:31" x14ac:dyDescent="0.3">
      <c r="A8" t="s">
        <v>12</v>
      </c>
      <c r="B8">
        <v>3</v>
      </c>
      <c r="C8" t="s">
        <v>137</v>
      </c>
      <c r="D8">
        <v>3</v>
      </c>
      <c r="E8">
        <v>2</v>
      </c>
      <c r="F8">
        <v>0.9</v>
      </c>
      <c r="G8">
        <v>0.9</v>
      </c>
      <c r="H8">
        <v>5.0000000000000001E-3</v>
      </c>
      <c r="I8">
        <v>120</v>
      </c>
      <c r="J8">
        <v>100</v>
      </c>
      <c r="K8">
        <v>4.6828120000000002</v>
      </c>
      <c r="L8">
        <v>3.7878029999999998</v>
      </c>
      <c r="M8">
        <v>155.28</v>
      </c>
      <c r="N8" t="s">
        <v>137</v>
      </c>
      <c r="O8" t="s">
        <v>137</v>
      </c>
      <c r="P8">
        <v>4.6959999999999997E-3</v>
      </c>
      <c r="Q8">
        <v>3.291525</v>
      </c>
      <c r="R8">
        <v>3.2962210000000001</v>
      </c>
      <c r="S8" t="s">
        <v>137</v>
      </c>
      <c r="T8">
        <v>1.3865909999999999</v>
      </c>
      <c r="U8">
        <v>3.3818000000000001E-2</v>
      </c>
      <c r="V8">
        <v>1.091E-3</v>
      </c>
      <c r="W8">
        <v>1.565E-3</v>
      </c>
      <c r="X8" t="s">
        <v>137</v>
      </c>
      <c r="Y8">
        <v>70.39</v>
      </c>
      <c r="Z8" t="s">
        <v>137</v>
      </c>
      <c r="AA8">
        <v>29.61</v>
      </c>
      <c r="AB8">
        <v>0.72</v>
      </c>
      <c r="AC8">
        <v>0.02</v>
      </c>
      <c r="AD8">
        <v>0.03</v>
      </c>
      <c r="AE8" t="s">
        <v>137</v>
      </c>
    </row>
    <row r="9" spans="1:31" x14ac:dyDescent="0.3">
      <c r="A9" t="s">
        <v>13</v>
      </c>
      <c r="B9">
        <v>3</v>
      </c>
      <c r="C9" t="s">
        <v>137</v>
      </c>
      <c r="D9">
        <v>3</v>
      </c>
      <c r="E9">
        <v>2</v>
      </c>
      <c r="F9">
        <v>0.9</v>
      </c>
      <c r="G9">
        <v>0.9</v>
      </c>
      <c r="H9">
        <v>5.0000000000000001E-3</v>
      </c>
      <c r="I9">
        <v>120</v>
      </c>
      <c r="J9">
        <v>100</v>
      </c>
      <c r="K9">
        <v>4.8043680000000002</v>
      </c>
      <c r="L9">
        <v>3.2339549999999999</v>
      </c>
      <c r="M9">
        <v>150.15</v>
      </c>
      <c r="N9" t="s">
        <v>137</v>
      </c>
      <c r="O9" t="s">
        <v>137</v>
      </c>
      <c r="P9">
        <v>5.496E-3</v>
      </c>
      <c r="Q9">
        <v>3.4562970000000002</v>
      </c>
      <c r="R9">
        <v>3.4617930000000001</v>
      </c>
      <c r="S9" t="s">
        <v>137</v>
      </c>
      <c r="T9">
        <v>1.3425739999999999</v>
      </c>
      <c r="U9">
        <v>3.6051E-2</v>
      </c>
      <c r="V9">
        <v>1.2329999999999999E-3</v>
      </c>
      <c r="W9">
        <v>1.9469999999999999E-3</v>
      </c>
      <c r="X9" t="s">
        <v>137</v>
      </c>
      <c r="Y9">
        <v>72.06</v>
      </c>
      <c r="Z9" t="s">
        <v>137</v>
      </c>
      <c r="AA9">
        <v>27.94</v>
      </c>
      <c r="AB9">
        <v>0.75</v>
      </c>
      <c r="AC9">
        <v>0.03</v>
      </c>
      <c r="AD9">
        <v>0.04</v>
      </c>
      <c r="AE9" t="s">
        <v>137</v>
      </c>
    </row>
    <row r="10" spans="1:31" x14ac:dyDescent="0.3">
      <c r="A10" t="s">
        <v>14</v>
      </c>
      <c r="B10">
        <v>3</v>
      </c>
      <c r="C10" t="s">
        <v>137</v>
      </c>
      <c r="D10">
        <v>3</v>
      </c>
      <c r="E10">
        <v>2</v>
      </c>
      <c r="F10">
        <v>0.9</v>
      </c>
      <c r="G10">
        <v>0.9</v>
      </c>
      <c r="H10">
        <v>5.0000000000000001E-3</v>
      </c>
      <c r="I10">
        <v>120</v>
      </c>
      <c r="J10">
        <v>100</v>
      </c>
      <c r="K10">
        <v>6.1535979999999997</v>
      </c>
      <c r="L10">
        <v>4.95967</v>
      </c>
      <c r="M10">
        <v>233.77</v>
      </c>
      <c r="N10" t="s">
        <v>137</v>
      </c>
      <c r="O10" t="s">
        <v>137</v>
      </c>
      <c r="P10">
        <v>4.1970000000000002E-3</v>
      </c>
      <c r="Q10">
        <v>4.0227329999999997</v>
      </c>
      <c r="R10">
        <v>4.0269300000000001</v>
      </c>
      <c r="S10" t="s">
        <v>137</v>
      </c>
      <c r="T10">
        <v>2.126668</v>
      </c>
      <c r="U10">
        <v>4.5274000000000002E-2</v>
      </c>
      <c r="V10">
        <v>9.5100000000000002E-4</v>
      </c>
      <c r="W10">
        <v>2.251E-3</v>
      </c>
      <c r="X10" t="s">
        <v>137</v>
      </c>
      <c r="Y10">
        <v>65.44</v>
      </c>
      <c r="Z10" t="s">
        <v>137</v>
      </c>
      <c r="AA10">
        <v>34.56</v>
      </c>
      <c r="AB10">
        <v>0.74</v>
      </c>
      <c r="AC10">
        <v>0.02</v>
      </c>
      <c r="AD10">
        <v>0.04</v>
      </c>
      <c r="AE10" t="s">
        <v>137</v>
      </c>
    </row>
    <row r="11" spans="1:31" x14ac:dyDescent="0.3">
      <c r="A11" t="s">
        <v>15</v>
      </c>
      <c r="B11">
        <v>3</v>
      </c>
      <c r="C11" t="s">
        <v>137</v>
      </c>
      <c r="D11">
        <v>3</v>
      </c>
      <c r="E11">
        <v>2</v>
      </c>
      <c r="F11">
        <v>0.9</v>
      </c>
      <c r="G11">
        <v>0.9</v>
      </c>
      <c r="H11">
        <v>5.0000000000000001E-3</v>
      </c>
      <c r="I11">
        <v>120</v>
      </c>
      <c r="J11">
        <v>100</v>
      </c>
      <c r="K11">
        <v>4.9586829999999997</v>
      </c>
      <c r="L11">
        <v>4.5117459999999996</v>
      </c>
      <c r="M11">
        <v>161.11000000000001</v>
      </c>
      <c r="N11" t="s">
        <v>137</v>
      </c>
      <c r="O11" t="s">
        <v>137</v>
      </c>
      <c r="P11">
        <v>5.0980000000000001E-3</v>
      </c>
      <c r="Q11">
        <v>3.4444490000000001</v>
      </c>
      <c r="R11">
        <v>3.4495469999999999</v>
      </c>
      <c r="S11" t="s">
        <v>137</v>
      </c>
      <c r="T11">
        <v>1.5091349999999999</v>
      </c>
      <c r="U11">
        <v>3.6470000000000002E-2</v>
      </c>
      <c r="V11">
        <v>1.1900000000000001E-3</v>
      </c>
      <c r="W11">
        <v>1.944E-3</v>
      </c>
      <c r="X11" t="s">
        <v>137</v>
      </c>
      <c r="Y11">
        <v>69.569999999999993</v>
      </c>
      <c r="Z11" t="s">
        <v>137</v>
      </c>
      <c r="AA11">
        <v>30.43</v>
      </c>
      <c r="AB11">
        <v>0.74</v>
      </c>
      <c r="AC11">
        <v>0.02</v>
      </c>
      <c r="AD11">
        <v>0.04</v>
      </c>
      <c r="AE11" t="s">
        <v>137</v>
      </c>
    </row>
    <row r="12" spans="1:31" x14ac:dyDescent="0.3">
      <c r="A12" t="s">
        <v>16</v>
      </c>
      <c r="B12">
        <v>3</v>
      </c>
      <c r="C12" t="s">
        <v>137</v>
      </c>
      <c r="D12">
        <v>3</v>
      </c>
      <c r="E12">
        <v>2</v>
      </c>
      <c r="F12">
        <v>0.9</v>
      </c>
      <c r="G12">
        <v>0.9</v>
      </c>
      <c r="H12">
        <v>5.0000000000000001E-3</v>
      </c>
      <c r="I12">
        <v>120</v>
      </c>
      <c r="J12">
        <v>59</v>
      </c>
      <c r="K12">
        <v>25.897316</v>
      </c>
      <c r="L12">
        <v>27.92211</v>
      </c>
      <c r="M12">
        <v>1197.58</v>
      </c>
      <c r="N12" t="s">
        <v>137</v>
      </c>
      <c r="O12" t="s">
        <v>137</v>
      </c>
      <c r="P12">
        <v>5.2550000000000001E-3</v>
      </c>
      <c r="Q12">
        <v>9.3730419999999999</v>
      </c>
      <c r="R12">
        <v>9.3782969999999999</v>
      </c>
      <c r="S12" t="s">
        <v>137</v>
      </c>
      <c r="T12">
        <v>16.519019</v>
      </c>
      <c r="U12">
        <v>0.270231</v>
      </c>
      <c r="V12">
        <v>1.2650000000000001E-3</v>
      </c>
      <c r="W12">
        <v>1.1977E-2</v>
      </c>
      <c r="X12" t="s">
        <v>137</v>
      </c>
      <c r="Y12">
        <v>36.21</v>
      </c>
      <c r="Z12" t="s">
        <v>137</v>
      </c>
      <c r="AA12">
        <v>63.79</v>
      </c>
      <c r="AB12">
        <v>1.04</v>
      </c>
      <c r="AC12">
        <v>0</v>
      </c>
      <c r="AD12">
        <v>0.05</v>
      </c>
      <c r="AE12" t="s">
        <v>137</v>
      </c>
    </row>
    <row r="13" spans="1:31" x14ac:dyDescent="0.3">
      <c r="A13" t="s">
        <v>17</v>
      </c>
      <c r="B13">
        <v>3</v>
      </c>
      <c r="C13" t="s">
        <v>137</v>
      </c>
      <c r="D13">
        <v>3</v>
      </c>
      <c r="E13">
        <v>2</v>
      </c>
      <c r="F13">
        <v>0.9</v>
      </c>
      <c r="G13">
        <v>0.9</v>
      </c>
      <c r="H13">
        <v>5.0000000000000001E-3</v>
      </c>
      <c r="I13">
        <v>120</v>
      </c>
      <c r="J13">
        <v>99</v>
      </c>
      <c r="K13">
        <v>6.9264549999999998</v>
      </c>
      <c r="L13">
        <v>8.5854250000000008</v>
      </c>
      <c r="M13">
        <v>330.2</v>
      </c>
      <c r="N13" t="s">
        <v>137</v>
      </c>
      <c r="O13" t="s">
        <v>137</v>
      </c>
      <c r="P13">
        <v>5.1669999999999997E-3</v>
      </c>
      <c r="Q13">
        <v>4.1666309999999998</v>
      </c>
      <c r="R13">
        <v>4.1717979999999999</v>
      </c>
      <c r="S13" t="s">
        <v>137</v>
      </c>
      <c r="T13">
        <v>2.7546580000000001</v>
      </c>
      <c r="U13">
        <v>7.4229000000000003E-2</v>
      </c>
      <c r="V13">
        <v>1.232E-3</v>
      </c>
      <c r="W13">
        <v>3.3769999999999998E-3</v>
      </c>
      <c r="X13" t="s">
        <v>137</v>
      </c>
      <c r="Y13">
        <v>60.23</v>
      </c>
      <c r="Z13" t="s">
        <v>137</v>
      </c>
      <c r="AA13">
        <v>39.770000000000003</v>
      </c>
      <c r="AB13">
        <v>1.07</v>
      </c>
      <c r="AC13">
        <v>0.02</v>
      </c>
      <c r="AD13">
        <v>0.05</v>
      </c>
      <c r="AE13" t="s">
        <v>137</v>
      </c>
    </row>
    <row r="14" spans="1:31" x14ac:dyDescent="0.3">
      <c r="A14" t="s">
        <v>18</v>
      </c>
      <c r="B14">
        <v>3</v>
      </c>
      <c r="C14" t="s">
        <v>137</v>
      </c>
      <c r="D14">
        <v>3</v>
      </c>
      <c r="E14">
        <v>2</v>
      </c>
      <c r="F14">
        <v>0.9</v>
      </c>
      <c r="G14">
        <v>0.9</v>
      </c>
      <c r="H14">
        <v>5.0000000000000001E-3</v>
      </c>
      <c r="I14">
        <v>120</v>
      </c>
      <c r="J14">
        <v>100</v>
      </c>
      <c r="K14">
        <v>2.9481480000000002</v>
      </c>
      <c r="L14">
        <v>5.7524490000000004</v>
      </c>
      <c r="M14">
        <v>146.38</v>
      </c>
      <c r="N14" t="s">
        <v>137</v>
      </c>
      <c r="O14" t="s">
        <v>137</v>
      </c>
      <c r="P14">
        <v>4.8970000000000003E-3</v>
      </c>
      <c r="Q14">
        <v>1.865324</v>
      </c>
      <c r="R14">
        <v>1.8702209999999999</v>
      </c>
      <c r="S14" t="s">
        <v>137</v>
      </c>
      <c r="T14">
        <v>1.0779259999999999</v>
      </c>
      <c r="U14">
        <v>2.9914E-2</v>
      </c>
      <c r="V14">
        <v>1.1039999999999999E-3</v>
      </c>
      <c r="W14">
        <v>1.2080000000000001E-3</v>
      </c>
      <c r="X14" t="s">
        <v>137</v>
      </c>
      <c r="Y14">
        <v>63.44</v>
      </c>
      <c r="Z14" t="s">
        <v>137</v>
      </c>
      <c r="AA14">
        <v>36.56</v>
      </c>
      <c r="AB14">
        <v>1.01</v>
      </c>
      <c r="AC14">
        <v>0.04</v>
      </c>
      <c r="AD14">
        <v>0.04</v>
      </c>
      <c r="AE14" t="s">
        <v>137</v>
      </c>
    </row>
    <row r="15" spans="1:31" x14ac:dyDescent="0.3">
      <c r="A15" t="s">
        <v>19</v>
      </c>
      <c r="B15">
        <v>3</v>
      </c>
      <c r="C15" t="s">
        <v>137</v>
      </c>
      <c r="D15">
        <v>3</v>
      </c>
      <c r="E15">
        <v>2</v>
      </c>
      <c r="F15">
        <v>0.9</v>
      </c>
      <c r="G15">
        <v>0.9</v>
      </c>
      <c r="H15">
        <v>5.0000000000000001E-3</v>
      </c>
      <c r="I15">
        <v>120</v>
      </c>
      <c r="J15">
        <v>92</v>
      </c>
      <c r="K15">
        <v>11.410258000000001</v>
      </c>
      <c r="L15">
        <v>16.09442</v>
      </c>
      <c r="M15">
        <v>577.53</v>
      </c>
      <c r="N15" t="s">
        <v>137</v>
      </c>
      <c r="O15" t="s">
        <v>137</v>
      </c>
      <c r="P15">
        <v>4.9240000000000004E-3</v>
      </c>
      <c r="Q15">
        <v>5.4155629999999997</v>
      </c>
      <c r="R15">
        <v>5.4204879999999998</v>
      </c>
      <c r="S15" t="s">
        <v>137</v>
      </c>
      <c r="T15">
        <v>5.9897710000000002</v>
      </c>
      <c r="U15">
        <v>0.11662500000000001</v>
      </c>
      <c r="V15">
        <v>1.1379999999999999E-3</v>
      </c>
      <c r="W15">
        <v>5.0990000000000002E-3</v>
      </c>
      <c r="X15" t="s">
        <v>137</v>
      </c>
      <c r="Y15">
        <v>47.51</v>
      </c>
      <c r="Z15" t="s">
        <v>137</v>
      </c>
      <c r="AA15">
        <v>52.49</v>
      </c>
      <c r="AB15">
        <v>1.02</v>
      </c>
      <c r="AC15">
        <v>0.01</v>
      </c>
      <c r="AD15">
        <v>0.04</v>
      </c>
      <c r="AE15" t="s">
        <v>137</v>
      </c>
    </row>
    <row r="16" spans="1:31" x14ac:dyDescent="0.3">
      <c r="A16" t="s">
        <v>20</v>
      </c>
      <c r="B16">
        <v>3</v>
      </c>
      <c r="C16" t="s">
        <v>137</v>
      </c>
      <c r="D16">
        <v>3</v>
      </c>
      <c r="E16">
        <v>2</v>
      </c>
      <c r="F16">
        <v>0.9</v>
      </c>
      <c r="G16">
        <v>0.9</v>
      </c>
      <c r="H16">
        <v>5.0000000000000001E-3</v>
      </c>
      <c r="I16">
        <v>120</v>
      </c>
      <c r="J16">
        <v>99</v>
      </c>
      <c r="K16">
        <v>6.607621</v>
      </c>
      <c r="L16">
        <v>8.6800359999999994</v>
      </c>
      <c r="M16">
        <v>315.26</v>
      </c>
      <c r="N16" t="s">
        <v>137</v>
      </c>
      <c r="O16" t="s">
        <v>137</v>
      </c>
      <c r="P16">
        <v>4.8789999999999997E-3</v>
      </c>
      <c r="Q16">
        <v>3.9533399999999999</v>
      </c>
      <c r="R16">
        <v>3.958218</v>
      </c>
      <c r="S16" t="s">
        <v>137</v>
      </c>
      <c r="T16">
        <v>2.6494019999999998</v>
      </c>
      <c r="U16">
        <v>6.7648E-2</v>
      </c>
      <c r="V16">
        <v>1.119E-3</v>
      </c>
      <c r="W16">
        <v>2.6380000000000002E-3</v>
      </c>
      <c r="X16" t="s">
        <v>137</v>
      </c>
      <c r="Y16">
        <v>59.9</v>
      </c>
      <c r="Z16" t="s">
        <v>137</v>
      </c>
      <c r="AA16">
        <v>40.1</v>
      </c>
      <c r="AB16">
        <v>1.02</v>
      </c>
      <c r="AC16">
        <v>0.02</v>
      </c>
      <c r="AD16">
        <v>0.04</v>
      </c>
      <c r="AE16" t="s">
        <v>137</v>
      </c>
    </row>
    <row r="17" spans="1:31" x14ac:dyDescent="0.3">
      <c r="A17" t="s">
        <v>21</v>
      </c>
      <c r="B17">
        <v>3</v>
      </c>
      <c r="C17" t="s">
        <v>137</v>
      </c>
      <c r="D17">
        <v>3</v>
      </c>
      <c r="E17">
        <v>2</v>
      </c>
      <c r="F17">
        <v>0.9</v>
      </c>
      <c r="G17">
        <v>0.9</v>
      </c>
      <c r="H17">
        <v>5.0000000000000001E-3</v>
      </c>
      <c r="I17">
        <v>120</v>
      </c>
      <c r="J17">
        <v>100</v>
      </c>
      <c r="K17">
        <v>7.1448689999999999</v>
      </c>
      <c r="L17">
        <v>7.4693069999999997</v>
      </c>
      <c r="M17">
        <v>319.20999999999998</v>
      </c>
      <c r="N17" t="s">
        <v>137</v>
      </c>
      <c r="O17" t="s">
        <v>137</v>
      </c>
      <c r="P17">
        <v>4.9849999999999998E-3</v>
      </c>
      <c r="Q17">
        <v>4.5442470000000004</v>
      </c>
      <c r="R17">
        <v>4.5492319999999999</v>
      </c>
      <c r="S17" t="s">
        <v>137</v>
      </c>
      <c r="T17">
        <v>2.595637</v>
      </c>
      <c r="U17">
        <v>7.1580000000000005E-2</v>
      </c>
      <c r="V17">
        <v>1.1410000000000001E-3</v>
      </c>
      <c r="W17">
        <v>3.192E-3</v>
      </c>
      <c r="X17" t="s">
        <v>137</v>
      </c>
      <c r="Y17">
        <v>63.67</v>
      </c>
      <c r="Z17" t="s">
        <v>137</v>
      </c>
      <c r="AA17">
        <v>36.33</v>
      </c>
      <c r="AB17">
        <v>1</v>
      </c>
      <c r="AC17">
        <v>0.02</v>
      </c>
      <c r="AD17">
        <v>0.04</v>
      </c>
      <c r="AE17" t="s">
        <v>137</v>
      </c>
    </row>
    <row r="18" spans="1:31" x14ac:dyDescent="0.3">
      <c r="A18" t="s">
        <v>22</v>
      </c>
      <c r="B18">
        <v>3</v>
      </c>
      <c r="C18" t="s">
        <v>137</v>
      </c>
      <c r="D18">
        <v>3</v>
      </c>
      <c r="E18">
        <v>2</v>
      </c>
      <c r="F18">
        <v>0.9</v>
      </c>
      <c r="G18">
        <v>0.9</v>
      </c>
      <c r="H18">
        <v>5.0000000000000001E-3</v>
      </c>
      <c r="I18">
        <v>120</v>
      </c>
      <c r="J18">
        <v>100</v>
      </c>
      <c r="K18">
        <v>4.3836649999999997</v>
      </c>
      <c r="L18">
        <v>5.3813120000000003</v>
      </c>
      <c r="M18">
        <v>201.39</v>
      </c>
      <c r="N18" t="s">
        <v>137</v>
      </c>
      <c r="O18" t="s">
        <v>137</v>
      </c>
      <c r="P18">
        <v>5.1450000000000003E-3</v>
      </c>
      <c r="Q18">
        <v>2.9148960000000002</v>
      </c>
      <c r="R18">
        <v>2.9200400000000002</v>
      </c>
      <c r="S18" t="s">
        <v>137</v>
      </c>
      <c r="T18">
        <v>1.463624</v>
      </c>
      <c r="U18">
        <v>4.4443000000000003E-2</v>
      </c>
      <c r="V18">
        <v>1.1230000000000001E-3</v>
      </c>
      <c r="W18">
        <v>2.5820000000000001E-3</v>
      </c>
      <c r="X18" t="s">
        <v>137</v>
      </c>
      <c r="Y18">
        <v>66.61</v>
      </c>
      <c r="Z18" t="s">
        <v>137</v>
      </c>
      <c r="AA18">
        <v>33.39</v>
      </c>
      <c r="AB18">
        <v>1.01</v>
      </c>
      <c r="AC18">
        <v>0.03</v>
      </c>
      <c r="AD18">
        <v>0.06</v>
      </c>
      <c r="AE18" t="s">
        <v>137</v>
      </c>
    </row>
    <row r="19" spans="1:31" x14ac:dyDescent="0.3">
      <c r="A19" t="s">
        <v>23</v>
      </c>
      <c r="B19">
        <v>3</v>
      </c>
      <c r="C19" t="s">
        <v>137</v>
      </c>
      <c r="D19">
        <v>3</v>
      </c>
      <c r="E19">
        <v>2</v>
      </c>
      <c r="F19">
        <v>0.9</v>
      </c>
      <c r="G19">
        <v>0.9</v>
      </c>
      <c r="H19">
        <v>5.0000000000000001E-3</v>
      </c>
      <c r="I19">
        <v>120</v>
      </c>
      <c r="J19">
        <v>97</v>
      </c>
      <c r="K19">
        <v>16.287175000000001</v>
      </c>
      <c r="L19">
        <v>17.122233000000001</v>
      </c>
      <c r="M19">
        <v>690.08</v>
      </c>
      <c r="N19" t="s">
        <v>137</v>
      </c>
      <c r="O19" t="s">
        <v>137</v>
      </c>
      <c r="P19">
        <v>5.7970000000000001E-3</v>
      </c>
      <c r="Q19">
        <v>7.9895940000000003</v>
      </c>
      <c r="R19">
        <v>7.9953909999999997</v>
      </c>
      <c r="S19" t="s">
        <v>137</v>
      </c>
      <c r="T19">
        <v>8.2917839999999998</v>
      </c>
      <c r="U19">
        <v>0.17923600000000001</v>
      </c>
      <c r="V19">
        <v>1.402E-3</v>
      </c>
      <c r="W19">
        <v>8.8299999999999993E-3</v>
      </c>
      <c r="X19" t="s">
        <v>137</v>
      </c>
      <c r="Y19">
        <v>49.09</v>
      </c>
      <c r="Z19" t="s">
        <v>137</v>
      </c>
      <c r="AA19">
        <v>50.91</v>
      </c>
      <c r="AB19">
        <v>1.1000000000000001</v>
      </c>
      <c r="AC19">
        <v>0.01</v>
      </c>
      <c r="AD19">
        <v>0.05</v>
      </c>
      <c r="AE19" t="s">
        <v>137</v>
      </c>
    </row>
    <row r="20" spans="1:31" x14ac:dyDescent="0.3">
      <c r="A20" t="s">
        <v>24</v>
      </c>
      <c r="B20">
        <v>3</v>
      </c>
      <c r="C20" t="s">
        <v>137</v>
      </c>
      <c r="D20">
        <v>3</v>
      </c>
      <c r="E20">
        <v>2</v>
      </c>
      <c r="F20">
        <v>0.9</v>
      </c>
      <c r="G20">
        <v>0.9</v>
      </c>
      <c r="H20">
        <v>5.0000000000000001E-3</v>
      </c>
      <c r="I20">
        <v>120</v>
      </c>
      <c r="J20">
        <v>96</v>
      </c>
      <c r="K20">
        <v>10.482677000000001</v>
      </c>
      <c r="L20">
        <v>16.475854000000002</v>
      </c>
      <c r="M20">
        <v>476.6</v>
      </c>
      <c r="N20" t="s">
        <v>137</v>
      </c>
      <c r="O20" t="s">
        <v>137</v>
      </c>
      <c r="P20">
        <v>5.1139999999999996E-3</v>
      </c>
      <c r="Q20">
        <v>5.0655450000000002</v>
      </c>
      <c r="R20">
        <v>5.070659</v>
      </c>
      <c r="S20" t="s">
        <v>137</v>
      </c>
      <c r="T20">
        <v>5.4120179999999998</v>
      </c>
      <c r="U20">
        <v>0.112071</v>
      </c>
      <c r="V20">
        <v>1.1850000000000001E-3</v>
      </c>
      <c r="W20">
        <v>4.8570000000000002E-3</v>
      </c>
      <c r="X20" t="s">
        <v>137</v>
      </c>
      <c r="Y20">
        <v>48.37</v>
      </c>
      <c r="Z20" t="s">
        <v>137</v>
      </c>
      <c r="AA20">
        <v>51.63</v>
      </c>
      <c r="AB20">
        <v>1.07</v>
      </c>
      <c r="AC20">
        <v>0.01</v>
      </c>
      <c r="AD20">
        <v>0.05</v>
      </c>
      <c r="AE20" t="s">
        <v>137</v>
      </c>
    </row>
    <row r="21" spans="1:31" x14ac:dyDescent="0.3">
      <c r="A21" t="s">
        <v>25</v>
      </c>
      <c r="B21">
        <v>3</v>
      </c>
      <c r="C21" t="s">
        <v>137</v>
      </c>
      <c r="D21">
        <v>3</v>
      </c>
      <c r="E21">
        <v>2</v>
      </c>
      <c r="F21">
        <v>0.9</v>
      </c>
      <c r="G21">
        <v>0.9</v>
      </c>
      <c r="H21">
        <v>5.0000000000000001E-3</v>
      </c>
      <c r="I21">
        <v>120</v>
      </c>
      <c r="J21">
        <v>94</v>
      </c>
      <c r="K21">
        <v>14.317890999999999</v>
      </c>
      <c r="L21">
        <v>18.152829000000001</v>
      </c>
      <c r="M21">
        <v>609.42999999999995</v>
      </c>
      <c r="N21" t="s">
        <v>137</v>
      </c>
      <c r="O21" t="s">
        <v>137</v>
      </c>
      <c r="P21">
        <v>5.1850000000000004E-3</v>
      </c>
      <c r="Q21">
        <v>6.9466609999999998</v>
      </c>
      <c r="R21">
        <v>6.9518459999999997</v>
      </c>
      <c r="S21" t="s">
        <v>137</v>
      </c>
      <c r="T21">
        <v>7.3660459999999999</v>
      </c>
      <c r="U21">
        <v>0.14152799999999999</v>
      </c>
      <c r="V21">
        <v>1.266E-3</v>
      </c>
      <c r="W21">
        <v>6.9259999999999999E-3</v>
      </c>
      <c r="X21" t="s">
        <v>137</v>
      </c>
      <c r="Y21">
        <v>48.55</v>
      </c>
      <c r="Z21" t="s">
        <v>137</v>
      </c>
      <c r="AA21">
        <v>51.45</v>
      </c>
      <c r="AB21">
        <v>0.99</v>
      </c>
      <c r="AC21">
        <v>0.01</v>
      </c>
      <c r="AD21">
        <v>0.05</v>
      </c>
      <c r="AE21" t="s">
        <v>137</v>
      </c>
    </row>
    <row r="22" spans="1:31" x14ac:dyDescent="0.3">
      <c r="A22" t="s">
        <v>26</v>
      </c>
      <c r="B22">
        <v>3</v>
      </c>
      <c r="C22" t="s">
        <v>137</v>
      </c>
      <c r="D22">
        <v>3</v>
      </c>
      <c r="E22">
        <v>2</v>
      </c>
      <c r="F22">
        <v>0.9</v>
      </c>
      <c r="G22">
        <v>0.9</v>
      </c>
      <c r="H22">
        <v>5.0000000000000001E-3</v>
      </c>
      <c r="I22">
        <v>120</v>
      </c>
      <c r="J22">
        <v>99</v>
      </c>
      <c r="K22">
        <v>11.409433</v>
      </c>
      <c r="L22">
        <v>16.027349000000001</v>
      </c>
      <c r="M22">
        <v>456.73</v>
      </c>
      <c r="N22" t="s">
        <v>137</v>
      </c>
      <c r="O22" t="s">
        <v>137</v>
      </c>
      <c r="P22">
        <v>5.581E-3</v>
      </c>
      <c r="Q22">
        <v>5.8332249999999997</v>
      </c>
      <c r="R22">
        <v>5.8388070000000001</v>
      </c>
      <c r="S22" t="s">
        <v>137</v>
      </c>
      <c r="T22">
        <v>5.570627</v>
      </c>
      <c r="U22">
        <v>0.110843</v>
      </c>
      <c r="V22">
        <v>1.3940000000000001E-3</v>
      </c>
      <c r="W22">
        <v>5.4799999999999996E-3</v>
      </c>
      <c r="X22" t="s">
        <v>137</v>
      </c>
      <c r="Y22">
        <v>51.18</v>
      </c>
      <c r="Z22" t="s">
        <v>137</v>
      </c>
      <c r="AA22">
        <v>48.82</v>
      </c>
      <c r="AB22">
        <v>0.97</v>
      </c>
      <c r="AC22">
        <v>0.01</v>
      </c>
      <c r="AD22">
        <v>0.05</v>
      </c>
      <c r="AE22" t="s">
        <v>137</v>
      </c>
    </row>
    <row r="23" spans="1:31" x14ac:dyDescent="0.3">
      <c r="A23" t="s">
        <v>27</v>
      </c>
      <c r="B23">
        <v>3</v>
      </c>
      <c r="C23" t="s">
        <v>137</v>
      </c>
      <c r="D23">
        <v>3</v>
      </c>
      <c r="E23">
        <v>2</v>
      </c>
      <c r="F23">
        <v>0.9</v>
      </c>
      <c r="G23">
        <v>0.9</v>
      </c>
      <c r="H23">
        <v>5.0000000000000001E-3</v>
      </c>
      <c r="I23">
        <v>120</v>
      </c>
      <c r="J23">
        <v>87</v>
      </c>
      <c r="K23">
        <v>28.430692000000001</v>
      </c>
      <c r="L23">
        <v>26.023485000000001</v>
      </c>
      <c r="M23">
        <v>1367.91</v>
      </c>
      <c r="N23" t="s">
        <v>137</v>
      </c>
      <c r="O23" t="s">
        <v>137</v>
      </c>
      <c r="P23">
        <v>5.2839999999999996E-3</v>
      </c>
      <c r="Q23">
        <v>10.088464</v>
      </c>
      <c r="R23">
        <v>10.093748</v>
      </c>
      <c r="S23" t="s">
        <v>137</v>
      </c>
      <c r="T23">
        <v>18.336943999999999</v>
      </c>
      <c r="U23">
        <v>0.29635600000000001</v>
      </c>
      <c r="V23">
        <v>1.2650000000000001E-3</v>
      </c>
      <c r="W23">
        <v>1.3783999999999999E-2</v>
      </c>
      <c r="X23" t="s">
        <v>137</v>
      </c>
      <c r="Y23">
        <v>35.5</v>
      </c>
      <c r="Z23" t="s">
        <v>137</v>
      </c>
      <c r="AA23">
        <v>64.5</v>
      </c>
      <c r="AB23">
        <v>1.04</v>
      </c>
      <c r="AC23">
        <v>0</v>
      </c>
      <c r="AD23">
        <v>0.05</v>
      </c>
      <c r="AE23" t="s">
        <v>137</v>
      </c>
    </row>
    <row r="24" spans="1:31" x14ac:dyDescent="0.3">
      <c r="A24" t="s">
        <v>28</v>
      </c>
      <c r="B24">
        <v>3</v>
      </c>
      <c r="C24" t="s">
        <v>137</v>
      </c>
      <c r="D24">
        <v>3</v>
      </c>
      <c r="E24">
        <v>2</v>
      </c>
      <c r="F24">
        <v>0.9</v>
      </c>
      <c r="G24">
        <v>0.9</v>
      </c>
      <c r="H24">
        <v>5.0000000000000001E-3</v>
      </c>
      <c r="I24">
        <v>120</v>
      </c>
      <c r="J24">
        <v>93</v>
      </c>
      <c r="K24">
        <v>19.037217999999999</v>
      </c>
      <c r="L24">
        <v>21.063065999999999</v>
      </c>
      <c r="M24">
        <v>504.09</v>
      </c>
      <c r="N24" t="s">
        <v>137</v>
      </c>
      <c r="O24" t="s">
        <v>137</v>
      </c>
      <c r="P24">
        <v>1.0012999999999999E-2</v>
      </c>
      <c r="Q24">
        <v>10.545052999999999</v>
      </c>
      <c r="R24">
        <v>10.555066</v>
      </c>
      <c r="S24" t="s">
        <v>137</v>
      </c>
      <c r="T24">
        <v>8.4821530000000003</v>
      </c>
      <c r="U24">
        <v>0.20935300000000001</v>
      </c>
      <c r="V24">
        <v>2.3839999999999998E-3</v>
      </c>
      <c r="W24">
        <v>1.0274999999999999E-2</v>
      </c>
      <c r="X24" t="s">
        <v>137</v>
      </c>
      <c r="Y24">
        <v>55.44</v>
      </c>
      <c r="Z24" t="s">
        <v>137</v>
      </c>
      <c r="AA24">
        <v>44.56</v>
      </c>
      <c r="AB24">
        <v>1.1000000000000001</v>
      </c>
      <c r="AC24">
        <v>0.01</v>
      </c>
      <c r="AD24">
        <v>0.05</v>
      </c>
      <c r="AE24" t="s">
        <v>137</v>
      </c>
    </row>
    <row r="25" spans="1:31" x14ac:dyDescent="0.3">
      <c r="A25" t="s">
        <v>29</v>
      </c>
      <c r="B25">
        <v>3</v>
      </c>
      <c r="C25" t="s">
        <v>137</v>
      </c>
      <c r="D25">
        <v>3</v>
      </c>
      <c r="E25">
        <v>2</v>
      </c>
      <c r="F25">
        <v>0.9</v>
      </c>
      <c r="G25">
        <v>0.9</v>
      </c>
      <c r="H25">
        <v>5.0000000000000001E-3</v>
      </c>
      <c r="I25">
        <v>120</v>
      </c>
      <c r="J25">
        <v>97</v>
      </c>
      <c r="K25">
        <v>19.285105000000001</v>
      </c>
      <c r="L25">
        <v>21.518156999999999</v>
      </c>
      <c r="M25">
        <v>416.02</v>
      </c>
      <c r="N25" t="s">
        <v>137</v>
      </c>
      <c r="O25" t="s">
        <v>137</v>
      </c>
      <c r="P25">
        <v>1.1698E-2</v>
      </c>
      <c r="Q25">
        <v>10.620849</v>
      </c>
      <c r="R25">
        <v>10.632547000000001</v>
      </c>
      <c r="S25" t="s">
        <v>137</v>
      </c>
      <c r="T25">
        <v>8.6525580000000009</v>
      </c>
      <c r="U25">
        <v>0.200354</v>
      </c>
      <c r="V25">
        <v>2.5920000000000001E-3</v>
      </c>
      <c r="W25">
        <v>9.6509999999999999E-3</v>
      </c>
      <c r="X25" t="s">
        <v>137</v>
      </c>
      <c r="Y25">
        <v>55.13</v>
      </c>
      <c r="Z25" t="s">
        <v>137</v>
      </c>
      <c r="AA25">
        <v>44.87</v>
      </c>
      <c r="AB25">
        <v>1.04</v>
      </c>
      <c r="AC25">
        <v>0.01</v>
      </c>
      <c r="AD25">
        <v>0.05</v>
      </c>
      <c r="AE25" t="s">
        <v>137</v>
      </c>
    </row>
    <row r="26" spans="1:31" x14ac:dyDescent="0.3">
      <c r="A26" t="s">
        <v>30</v>
      </c>
      <c r="B26">
        <v>3</v>
      </c>
      <c r="C26" t="s">
        <v>137</v>
      </c>
      <c r="D26">
        <v>3</v>
      </c>
      <c r="E26">
        <v>2</v>
      </c>
      <c r="F26">
        <v>0.9</v>
      </c>
      <c r="G26">
        <v>0.9</v>
      </c>
      <c r="H26">
        <v>5.0000000000000001E-3</v>
      </c>
      <c r="I26">
        <v>120</v>
      </c>
      <c r="J26">
        <v>99</v>
      </c>
      <c r="K26">
        <v>13.373692999999999</v>
      </c>
      <c r="L26">
        <v>18.312735</v>
      </c>
      <c r="M26">
        <v>553.54</v>
      </c>
      <c r="N26" t="s">
        <v>137</v>
      </c>
      <c r="O26" t="s">
        <v>137</v>
      </c>
      <c r="P26">
        <v>5.0670000000000003E-3</v>
      </c>
      <c r="Q26">
        <v>6.4446969999999997</v>
      </c>
      <c r="R26">
        <v>6.4497629999999999</v>
      </c>
      <c r="S26" t="s">
        <v>137</v>
      </c>
      <c r="T26">
        <v>6.9239290000000002</v>
      </c>
      <c r="U26">
        <v>0.13112199999999999</v>
      </c>
      <c r="V26">
        <v>1.2329999999999999E-3</v>
      </c>
      <c r="W26">
        <v>5.5189999999999996E-3</v>
      </c>
      <c r="X26" t="s">
        <v>137</v>
      </c>
      <c r="Y26">
        <v>48.23</v>
      </c>
      <c r="Z26" t="s">
        <v>137</v>
      </c>
      <c r="AA26">
        <v>51.77</v>
      </c>
      <c r="AB26">
        <v>0.98</v>
      </c>
      <c r="AC26">
        <v>0.01</v>
      </c>
      <c r="AD26">
        <v>0.04</v>
      </c>
      <c r="AE26" t="s">
        <v>137</v>
      </c>
    </row>
    <row r="27" spans="1:31" x14ac:dyDescent="0.3">
      <c r="A27" t="s">
        <v>31</v>
      </c>
      <c r="B27">
        <v>3</v>
      </c>
      <c r="C27" t="s">
        <v>137</v>
      </c>
      <c r="D27">
        <v>3</v>
      </c>
      <c r="E27">
        <v>2</v>
      </c>
      <c r="F27">
        <v>0.9</v>
      </c>
      <c r="G27">
        <v>0.9</v>
      </c>
      <c r="H27">
        <v>5.0000000000000001E-3</v>
      </c>
      <c r="I27">
        <v>120</v>
      </c>
      <c r="J27">
        <v>99</v>
      </c>
      <c r="K27">
        <v>12.353637000000001</v>
      </c>
      <c r="L27">
        <v>17.090373</v>
      </c>
      <c r="M27">
        <v>262.11</v>
      </c>
      <c r="N27" t="s">
        <v>137</v>
      </c>
      <c r="O27" t="s">
        <v>137</v>
      </c>
      <c r="P27">
        <v>1.1564E-2</v>
      </c>
      <c r="Q27">
        <v>7.5080010000000001</v>
      </c>
      <c r="R27">
        <v>7.5195650000000001</v>
      </c>
      <c r="S27" t="s">
        <v>137</v>
      </c>
      <c r="T27">
        <v>4.8340730000000001</v>
      </c>
      <c r="U27">
        <v>0.123363</v>
      </c>
      <c r="V27">
        <v>2.3809999999999999E-3</v>
      </c>
      <c r="W27">
        <v>5.3249999999999999E-3</v>
      </c>
      <c r="X27" t="s">
        <v>137</v>
      </c>
      <c r="Y27">
        <v>60.87</v>
      </c>
      <c r="Z27" t="s">
        <v>137</v>
      </c>
      <c r="AA27">
        <v>39.130000000000003</v>
      </c>
      <c r="AB27">
        <v>1</v>
      </c>
      <c r="AC27">
        <v>0.02</v>
      </c>
      <c r="AD27">
        <v>0.04</v>
      </c>
      <c r="AE27" t="s">
        <v>137</v>
      </c>
    </row>
    <row r="28" spans="1:31" x14ac:dyDescent="0.3">
      <c r="A28" t="s">
        <v>32</v>
      </c>
      <c r="B28">
        <v>3</v>
      </c>
      <c r="C28" t="s">
        <v>137</v>
      </c>
      <c r="D28">
        <v>3</v>
      </c>
      <c r="E28">
        <v>2</v>
      </c>
      <c r="F28">
        <v>0.9</v>
      </c>
      <c r="G28">
        <v>0.9</v>
      </c>
      <c r="H28">
        <v>5.0000000000000001E-3</v>
      </c>
      <c r="I28">
        <v>120</v>
      </c>
      <c r="J28">
        <v>100</v>
      </c>
      <c r="K28">
        <v>11.282437</v>
      </c>
      <c r="L28">
        <v>15.901840999999999</v>
      </c>
      <c r="M28">
        <v>399.37</v>
      </c>
      <c r="N28" t="s">
        <v>137</v>
      </c>
      <c r="O28" t="s">
        <v>137</v>
      </c>
      <c r="P28">
        <v>7.9609999999999993E-3</v>
      </c>
      <c r="Q28">
        <v>6.1575879999999996</v>
      </c>
      <c r="R28">
        <v>6.1655490000000004</v>
      </c>
      <c r="S28" t="s">
        <v>137</v>
      </c>
      <c r="T28">
        <v>5.1168889999999996</v>
      </c>
      <c r="U28">
        <v>0.118307</v>
      </c>
      <c r="V28">
        <v>1.6850000000000001E-3</v>
      </c>
      <c r="W28">
        <v>5.2119999999999996E-3</v>
      </c>
      <c r="X28" t="s">
        <v>137</v>
      </c>
      <c r="Y28">
        <v>54.65</v>
      </c>
      <c r="Z28" t="s">
        <v>137</v>
      </c>
      <c r="AA28">
        <v>45.35</v>
      </c>
      <c r="AB28">
        <v>1.05</v>
      </c>
      <c r="AC28">
        <v>0.01</v>
      </c>
      <c r="AD28">
        <v>0.05</v>
      </c>
      <c r="AE28" t="s">
        <v>137</v>
      </c>
    </row>
    <row r="29" spans="1:31" x14ac:dyDescent="0.3">
      <c r="A29" t="s">
        <v>33</v>
      </c>
      <c r="B29">
        <v>3</v>
      </c>
      <c r="C29" t="s">
        <v>137</v>
      </c>
      <c r="D29">
        <v>3</v>
      </c>
      <c r="E29">
        <v>2</v>
      </c>
      <c r="F29">
        <v>0.9</v>
      </c>
      <c r="G29">
        <v>0.9</v>
      </c>
      <c r="H29">
        <v>5.0000000000000001E-3</v>
      </c>
      <c r="I29">
        <v>120</v>
      </c>
      <c r="J29">
        <v>87</v>
      </c>
      <c r="K29">
        <v>20.495201000000002</v>
      </c>
      <c r="L29">
        <v>25.330704999999998</v>
      </c>
      <c r="M29">
        <v>939.85</v>
      </c>
      <c r="N29" t="s">
        <v>137</v>
      </c>
      <c r="O29" t="s">
        <v>137</v>
      </c>
      <c r="P29">
        <v>5.3229999999999996E-3</v>
      </c>
      <c r="Q29">
        <v>7.8930059999999997</v>
      </c>
      <c r="R29">
        <v>7.8983290000000004</v>
      </c>
      <c r="S29" t="s">
        <v>137</v>
      </c>
      <c r="T29">
        <v>12.596871999999999</v>
      </c>
      <c r="U29">
        <v>0.22143699999999999</v>
      </c>
      <c r="V29">
        <v>1.2199999999999999E-3</v>
      </c>
      <c r="W29">
        <v>8.7010000000000004E-3</v>
      </c>
      <c r="X29" t="s">
        <v>137</v>
      </c>
      <c r="Y29">
        <v>38.54</v>
      </c>
      <c r="Z29" t="s">
        <v>137</v>
      </c>
      <c r="AA29">
        <v>61.46</v>
      </c>
      <c r="AB29">
        <v>1.08</v>
      </c>
      <c r="AC29">
        <v>0.01</v>
      </c>
      <c r="AD29">
        <v>0.04</v>
      </c>
      <c r="AE29" t="s">
        <v>137</v>
      </c>
    </row>
    <row r="30" spans="1:31" x14ac:dyDescent="0.3">
      <c r="A30" t="s">
        <v>34</v>
      </c>
      <c r="B30">
        <v>3</v>
      </c>
      <c r="C30" t="s">
        <v>137</v>
      </c>
      <c r="D30">
        <v>3</v>
      </c>
      <c r="E30">
        <v>2</v>
      </c>
      <c r="F30">
        <v>0.9</v>
      </c>
      <c r="G30">
        <v>0.9</v>
      </c>
      <c r="H30">
        <v>5.0000000000000001E-3</v>
      </c>
      <c r="I30">
        <v>120</v>
      </c>
      <c r="J30">
        <v>82</v>
      </c>
      <c r="K30">
        <v>21.212250000000001</v>
      </c>
      <c r="L30">
        <v>25.764327999999999</v>
      </c>
      <c r="M30">
        <v>993.72</v>
      </c>
      <c r="N30" t="s">
        <v>137</v>
      </c>
      <c r="O30" t="s">
        <v>137</v>
      </c>
      <c r="P30">
        <v>5.0740000000000004E-3</v>
      </c>
      <c r="Q30">
        <v>8.3685519999999993</v>
      </c>
      <c r="R30">
        <v>8.3736250000000005</v>
      </c>
      <c r="S30" t="s">
        <v>137</v>
      </c>
      <c r="T30">
        <v>12.838623999999999</v>
      </c>
      <c r="U30">
        <v>0.243563</v>
      </c>
      <c r="V30">
        <v>1.297E-3</v>
      </c>
      <c r="W30">
        <v>9.3539999999999995E-3</v>
      </c>
      <c r="X30" t="s">
        <v>137</v>
      </c>
      <c r="Y30">
        <v>39.479999999999997</v>
      </c>
      <c r="Z30" t="s">
        <v>137</v>
      </c>
      <c r="AA30">
        <v>60.52</v>
      </c>
      <c r="AB30">
        <v>1.1499999999999999</v>
      </c>
      <c r="AC30">
        <v>0.01</v>
      </c>
      <c r="AD30">
        <v>0.04</v>
      </c>
      <c r="AE30" t="s">
        <v>137</v>
      </c>
    </row>
    <row r="31" spans="1:31" x14ac:dyDescent="0.3">
      <c r="A31" t="s">
        <v>35</v>
      </c>
      <c r="B31">
        <v>3</v>
      </c>
      <c r="C31" t="s">
        <v>137</v>
      </c>
      <c r="D31">
        <v>3</v>
      </c>
      <c r="E31">
        <v>2</v>
      </c>
      <c r="F31">
        <v>0.9</v>
      </c>
      <c r="G31">
        <v>0.9</v>
      </c>
      <c r="H31">
        <v>5.0000000000000001E-3</v>
      </c>
      <c r="I31">
        <v>120</v>
      </c>
      <c r="J31">
        <v>94</v>
      </c>
      <c r="K31">
        <v>12.574793</v>
      </c>
      <c r="L31">
        <v>14.367188000000001</v>
      </c>
      <c r="M31">
        <v>550.12</v>
      </c>
      <c r="N31" t="s">
        <v>137</v>
      </c>
      <c r="O31" t="s">
        <v>137</v>
      </c>
      <c r="P31">
        <v>5.071E-3</v>
      </c>
      <c r="Q31">
        <v>6.4655319999999996</v>
      </c>
      <c r="R31">
        <v>6.4706029999999997</v>
      </c>
      <c r="S31" t="s">
        <v>137</v>
      </c>
      <c r="T31">
        <v>6.10419</v>
      </c>
      <c r="U31">
        <v>0.129912</v>
      </c>
      <c r="V31">
        <v>1.2520000000000001E-3</v>
      </c>
      <c r="W31">
        <v>6.6189999999999999E-3</v>
      </c>
      <c r="X31" t="s">
        <v>137</v>
      </c>
      <c r="Y31">
        <v>51.46</v>
      </c>
      <c r="Z31" t="s">
        <v>137</v>
      </c>
      <c r="AA31">
        <v>48.54</v>
      </c>
      <c r="AB31">
        <v>1.03</v>
      </c>
      <c r="AC31">
        <v>0.01</v>
      </c>
      <c r="AD31">
        <v>0.05</v>
      </c>
      <c r="AE31" t="s">
        <v>137</v>
      </c>
    </row>
    <row r="32" spans="1:31" x14ac:dyDescent="0.3">
      <c r="A32" t="s">
        <v>36</v>
      </c>
      <c r="B32">
        <v>3</v>
      </c>
      <c r="C32" t="s">
        <v>137</v>
      </c>
      <c r="D32">
        <v>3</v>
      </c>
      <c r="E32">
        <v>2</v>
      </c>
      <c r="F32">
        <v>0.9</v>
      </c>
      <c r="G32">
        <v>0.9</v>
      </c>
      <c r="H32">
        <v>5.0000000000000001E-3</v>
      </c>
      <c r="I32">
        <v>120</v>
      </c>
      <c r="J32">
        <v>97</v>
      </c>
      <c r="K32">
        <v>11.946204</v>
      </c>
      <c r="L32">
        <v>17.801034000000001</v>
      </c>
      <c r="M32">
        <v>522.05999999999995</v>
      </c>
      <c r="N32" t="s">
        <v>137</v>
      </c>
      <c r="O32" t="s">
        <v>137</v>
      </c>
      <c r="P32">
        <v>4.9220000000000002E-3</v>
      </c>
      <c r="Q32">
        <v>5.8541540000000003</v>
      </c>
      <c r="R32">
        <v>5.8590770000000001</v>
      </c>
      <c r="S32" t="s">
        <v>137</v>
      </c>
      <c r="T32">
        <v>6.0871269999999997</v>
      </c>
      <c r="U32">
        <v>0.124101</v>
      </c>
      <c r="V32">
        <v>1.346E-3</v>
      </c>
      <c r="W32">
        <v>5.4190000000000002E-3</v>
      </c>
      <c r="X32" t="s">
        <v>137</v>
      </c>
      <c r="Y32">
        <v>49.05</v>
      </c>
      <c r="Z32" t="s">
        <v>137</v>
      </c>
      <c r="AA32">
        <v>50.95</v>
      </c>
      <c r="AB32">
        <v>1.04</v>
      </c>
      <c r="AC32">
        <v>0.01</v>
      </c>
      <c r="AD32">
        <v>0.05</v>
      </c>
      <c r="AE32" t="s">
        <v>137</v>
      </c>
    </row>
    <row r="33" spans="1:31" x14ac:dyDescent="0.3">
      <c r="A33" t="s">
        <v>37</v>
      </c>
      <c r="B33">
        <v>3</v>
      </c>
      <c r="C33" t="s">
        <v>137</v>
      </c>
      <c r="D33">
        <v>3</v>
      </c>
      <c r="E33">
        <v>2</v>
      </c>
      <c r="F33">
        <v>0.9</v>
      </c>
      <c r="G33">
        <v>0.9</v>
      </c>
      <c r="H33">
        <v>5.0000000000000001E-3</v>
      </c>
      <c r="I33">
        <v>120</v>
      </c>
      <c r="J33">
        <v>97</v>
      </c>
      <c r="K33">
        <v>14.672988</v>
      </c>
      <c r="L33">
        <v>18.551866</v>
      </c>
      <c r="M33">
        <v>679.64</v>
      </c>
      <c r="N33" t="s">
        <v>137</v>
      </c>
      <c r="O33" t="s">
        <v>137</v>
      </c>
      <c r="P33">
        <v>5.5389999999999997E-3</v>
      </c>
      <c r="Q33">
        <v>6.6874729999999998</v>
      </c>
      <c r="R33">
        <v>6.6930120000000004</v>
      </c>
      <c r="S33" t="s">
        <v>137</v>
      </c>
      <c r="T33">
        <v>7.9799749999999996</v>
      </c>
      <c r="U33">
        <v>0.15748400000000001</v>
      </c>
      <c r="V33">
        <v>1.266E-3</v>
      </c>
      <c r="W33">
        <v>7.5420000000000001E-3</v>
      </c>
      <c r="X33" t="s">
        <v>137</v>
      </c>
      <c r="Y33">
        <v>45.61</v>
      </c>
      <c r="Z33" t="s">
        <v>137</v>
      </c>
      <c r="AA33">
        <v>54.39</v>
      </c>
      <c r="AB33">
        <v>1.07</v>
      </c>
      <c r="AC33">
        <v>0.01</v>
      </c>
      <c r="AD33">
        <v>0.05</v>
      </c>
      <c r="AE33" t="s">
        <v>137</v>
      </c>
    </row>
    <row r="34" spans="1:31" x14ac:dyDescent="0.3">
      <c r="A34" t="s">
        <v>38</v>
      </c>
      <c r="B34">
        <v>3</v>
      </c>
      <c r="C34" t="s">
        <v>137</v>
      </c>
      <c r="D34">
        <v>3</v>
      </c>
      <c r="E34">
        <v>2</v>
      </c>
      <c r="F34">
        <v>0.9</v>
      </c>
      <c r="G34">
        <v>0.9</v>
      </c>
      <c r="H34">
        <v>5.0000000000000001E-3</v>
      </c>
      <c r="I34">
        <v>120</v>
      </c>
      <c r="J34">
        <v>99</v>
      </c>
      <c r="K34">
        <v>5.3739869999999996</v>
      </c>
      <c r="L34">
        <v>6.714315</v>
      </c>
      <c r="M34">
        <v>247.19</v>
      </c>
      <c r="N34" t="s">
        <v>137</v>
      </c>
      <c r="O34" t="s">
        <v>137</v>
      </c>
      <c r="P34">
        <v>5.0359999999999997E-3</v>
      </c>
      <c r="Q34">
        <v>3.4827089999999998</v>
      </c>
      <c r="R34">
        <v>3.487746</v>
      </c>
      <c r="S34" t="s">
        <v>137</v>
      </c>
      <c r="T34">
        <v>1.8862410000000001</v>
      </c>
      <c r="U34">
        <v>5.4656999999999997E-2</v>
      </c>
      <c r="V34">
        <v>1.109E-3</v>
      </c>
      <c r="W34">
        <v>2.4250000000000001E-3</v>
      </c>
      <c r="X34" t="s">
        <v>137</v>
      </c>
      <c r="Y34">
        <v>64.900000000000006</v>
      </c>
      <c r="Z34" t="s">
        <v>137</v>
      </c>
      <c r="AA34">
        <v>35.1</v>
      </c>
      <c r="AB34">
        <v>1.02</v>
      </c>
      <c r="AC34">
        <v>0.02</v>
      </c>
      <c r="AD34">
        <v>0.05</v>
      </c>
      <c r="AE34" t="s">
        <v>137</v>
      </c>
    </row>
    <row r="35" spans="1:31" x14ac:dyDescent="0.3">
      <c r="A35" t="s">
        <v>39</v>
      </c>
      <c r="B35">
        <v>3</v>
      </c>
      <c r="C35" t="s">
        <v>137</v>
      </c>
      <c r="D35">
        <v>3</v>
      </c>
      <c r="E35">
        <v>2</v>
      </c>
      <c r="F35">
        <v>0.9</v>
      </c>
      <c r="G35">
        <v>0.9</v>
      </c>
      <c r="H35">
        <v>5.0000000000000001E-3</v>
      </c>
      <c r="I35">
        <v>120</v>
      </c>
      <c r="J35">
        <v>99</v>
      </c>
      <c r="K35">
        <v>8.0089629999999996</v>
      </c>
      <c r="L35">
        <v>8.4541590000000006</v>
      </c>
      <c r="M35">
        <v>356.46</v>
      </c>
      <c r="N35" t="s">
        <v>137</v>
      </c>
      <c r="O35" t="s">
        <v>137</v>
      </c>
      <c r="P35">
        <v>5.1359999999999999E-3</v>
      </c>
      <c r="Q35">
        <v>4.9379299999999997</v>
      </c>
      <c r="R35">
        <v>4.943066</v>
      </c>
      <c r="S35" t="s">
        <v>137</v>
      </c>
      <c r="T35">
        <v>3.0658970000000001</v>
      </c>
      <c r="U35">
        <v>8.3362000000000006E-2</v>
      </c>
      <c r="V35">
        <v>1.273E-3</v>
      </c>
      <c r="W35">
        <v>3.5230000000000001E-3</v>
      </c>
      <c r="X35" t="s">
        <v>137</v>
      </c>
      <c r="Y35">
        <v>61.72</v>
      </c>
      <c r="Z35" t="s">
        <v>137</v>
      </c>
      <c r="AA35">
        <v>38.28</v>
      </c>
      <c r="AB35">
        <v>1.04</v>
      </c>
      <c r="AC35">
        <v>0.02</v>
      </c>
      <c r="AD35">
        <v>0.04</v>
      </c>
      <c r="AE35" t="s">
        <v>137</v>
      </c>
    </row>
    <row r="36" spans="1:31" x14ac:dyDescent="0.3">
      <c r="A36" t="s">
        <v>40</v>
      </c>
      <c r="B36">
        <v>3</v>
      </c>
      <c r="C36" t="s">
        <v>137</v>
      </c>
      <c r="D36">
        <v>3</v>
      </c>
      <c r="E36">
        <v>2</v>
      </c>
      <c r="F36">
        <v>0.9</v>
      </c>
      <c r="G36">
        <v>0.9</v>
      </c>
      <c r="H36">
        <v>5.0000000000000001E-3</v>
      </c>
      <c r="I36">
        <v>120</v>
      </c>
      <c r="J36">
        <v>76</v>
      </c>
      <c r="K36">
        <v>22.619422</v>
      </c>
      <c r="L36">
        <v>23.065145000000001</v>
      </c>
      <c r="M36">
        <v>1188.21</v>
      </c>
      <c r="N36" t="s">
        <v>137</v>
      </c>
      <c r="O36" t="s">
        <v>137</v>
      </c>
      <c r="P36">
        <v>5.0109999999999998E-3</v>
      </c>
      <c r="Q36">
        <v>8.5588460000000008</v>
      </c>
      <c r="R36">
        <v>8.5638570000000005</v>
      </c>
      <c r="S36" t="s">
        <v>137</v>
      </c>
      <c r="T36">
        <v>14.055565</v>
      </c>
      <c r="U36">
        <v>0.240624</v>
      </c>
      <c r="V36">
        <v>1.31E-3</v>
      </c>
      <c r="W36">
        <v>9.3299999999999998E-3</v>
      </c>
      <c r="X36" t="s">
        <v>137</v>
      </c>
      <c r="Y36">
        <v>37.86</v>
      </c>
      <c r="Z36" t="s">
        <v>137</v>
      </c>
      <c r="AA36">
        <v>62.14</v>
      </c>
      <c r="AB36">
        <v>1.06</v>
      </c>
      <c r="AC36">
        <v>0.01</v>
      </c>
      <c r="AD36">
        <v>0.04</v>
      </c>
      <c r="AE36" t="s">
        <v>137</v>
      </c>
    </row>
    <row r="37" spans="1:31" x14ac:dyDescent="0.3">
      <c r="A37" t="s">
        <v>41</v>
      </c>
      <c r="B37">
        <v>3</v>
      </c>
      <c r="C37" t="s">
        <v>137</v>
      </c>
      <c r="D37">
        <v>3</v>
      </c>
      <c r="E37">
        <v>2</v>
      </c>
      <c r="F37">
        <v>0.9</v>
      </c>
      <c r="G37">
        <v>0.9</v>
      </c>
      <c r="H37">
        <v>5.0000000000000001E-3</v>
      </c>
      <c r="I37">
        <v>120</v>
      </c>
      <c r="J37">
        <v>100</v>
      </c>
      <c r="K37">
        <v>5.1472790000000002</v>
      </c>
      <c r="L37">
        <v>7.2938520000000002</v>
      </c>
      <c r="M37">
        <v>259.45</v>
      </c>
      <c r="N37" t="s">
        <v>137</v>
      </c>
      <c r="O37" t="s">
        <v>137</v>
      </c>
      <c r="P37">
        <v>4.8799999999999998E-3</v>
      </c>
      <c r="Q37">
        <v>3.0557810000000001</v>
      </c>
      <c r="R37">
        <v>3.0606610000000001</v>
      </c>
      <c r="S37" t="s">
        <v>137</v>
      </c>
      <c r="T37">
        <v>2.0866169999999999</v>
      </c>
      <c r="U37">
        <v>5.0984000000000002E-2</v>
      </c>
      <c r="V37">
        <v>1.111E-3</v>
      </c>
      <c r="W37">
        <v>2.098E-3</v>
      </c>
      <c r="X37" t="s">
        <v>137</v>
      </c>
      <c r="Y37">
        <v>59.46</v>
      </c>
      <c r="Z37" t="s">
        <v>137</v>
      </c>
      <c r="AA37">
        <v>40.54</v>
      </c>
      <c r="AB37">
        <v>0.99</v>
      </c>
      <c r="AC37">
        <v>0.02</v>
      </c>
      <c r="AD37">
        <v>0.04</v>
      </c>
      <c r="AE37" t="s">
        <v>137</v>
      </c>
    </row>
    <row r="38" spans="1:31" x14ac:dyDescent="0.3">
      <c r="A38" t="s">
        <v>42</v>
      </c>
      <c r="B38">
        <v>3</v>
      </c>
      <c r="C38" t="s">
        <v>137</v>
      </c>
      <c r="D38">
        <v>3</v>
      </c>
      <c r="E38">
        <v>2</v>
      </c>
      <c r="F38">
        <v>0.9</v>
      </c>
      <c r="G38">
        <v>0.9</v>
      </c>
      <c r="H38">
        <v>5.0000000000000001E-3</v>
      </c>
      <c r="I38">
        <v>120</v>
      </c>
      <c r="J38">
        <v>100</v>
      </c>
      <c r="K38">
        <v>5.2127559999999997</v>
      </c>
      <c r="L38">
        <v>8.6047220000000006</v>
      </c>
      <c r="M38">
        <v>279.42</v>
      </c>
      <c r="N38" t="s">
        <v>137</v>
      </c>
      <c r="O38" t="s">
        <v>137</v>
      </c>
      <c r="P38">
        <v>5.0169999999999998E-3</v>
      </c>
      <c r="Q38">
        <v>2.9412799999999999</v>
      </c>
      <c r="R38">
        <v>2.9462969999999999</v>
      </c>
      <c r="S38" t="s">
        <v>137</v>
      </c>
      <c r="T38">
        <v>2.2664580000000001</v>
      </c>
      <c r="U38">
        <v>5.4857000000000003E-2</v>
      </c>
      <c r="V38">
        <v>1.0989999999999999E-3</v>
      </c>
      <c r="W38">
        <v>2.2300000000000002E-3</v>
      </c>
      <c r="X38" t="s">
        <v>137</v>
      </c>
      <c r="Y38">
        <v>56.52</v>
      </c>
      <c r="Z38" t="s">
        <v>137</v>
      </c>
      <c r="AA38">
        <v>43.48</v>
      </c>
      <c r="AB38">
        <v>1.05</v>
      </c>
      <c r="AC38">
        <v>0.02</v>
      </c>
      <c r="AD38">
        <v>0.04</v>
      </c>
      <c r="AE38" t="s">
        <v>137</v>
      </c>
    </row>
    <row r="39" spans="1:31" x14ac:dyDescent="0.3">
      <c r="A39" t="s">
        <v>43</v>
      </c>
      <c r="B39">
        <v>3</v>
      </c>
      <c r="C39" t="s">
        <v>137</v>
      </c>
      <c r="D39">
        <v>3</v>
      </c>
      <c r="E39">
        <v>2</v>
      </c>
      <c r="F39">
        <v>0.9</v>
      </c>
      <c r="G39">
        <v>0.9</v>
      </c>
      <c r="H39">
        <v>5.0000000000000001E-3</v>
      </c>
      <c r="I39">
        <v>120</v>
      </c>
      <c r="J39">
        <v>100</v>
      </c>
      <c r="K39">
        <v>3.8243740000000002</v>
      </c>
      <c r="L39">
        <v>4.6918110000000004</v>
      </c>
      <c r="M39">
        <v>190.26</v>
      </c>
      <c r="N39" t="s">
        <v>137</v>
      </c>
      <c r="O39" t="s">
        <v>137</v>
      </c>
      <c r="P39">
        <v>4.7860000000000003E-3</v>
      </c>
      <c r="Q39">
        <v>2.5416859999999999</v>
      </c>
      <c r="R39">
        <v>2.5464720000000001</v>
      </c>
      <c r="S39" t="s">
        <v>137</v>
      </c>
      <c r="T39">
        <v>1.277903</v>
      </c>
      <c r="U39">
        <v>3.7186999999999998E-2</v>
      </c>
      <c r="V39">
        <v>1.116E-3</v>
      </c>
      <c r="W39">
        <v>1.523E-3</v>
      </c>
      <c r="X39" t="s">
        <v>137</v>
      </c>
      <c r="Y39">
        <v>66.59</v>
      </c>
      <c r="Z39" t="s">
        <v>137</v>
      </c>
      <c r="AA39">
        <v>33.409999999999997</v>
      </c>
      <c r="AB39">
        <v>0.97</v>
      </c>
      <c r="AC39">
        <v>0.03</v>
      </c>
      <c r="AD39">
        <v>0.04</v>
      </c>
      <c r="AE39" t="s">
        <v>137</v>
      </c>
    </row>
    <row r="40" spans="1:31" x14ac:dyDescent="0.3">
      <c r="A40" t="s">
        <v>44</v>
      </c>
      <c r="B40">
        <v>3</v>
      </c>
      <c r="C40" t="s">
        <v>137</v>
      </c>
      <c r="D40">
        <v>3</v>
      </c>
      <c r="E40">
        <v>2</v>
      </c>
      <c r="F40">
        <v>0.9</v>
      </c>
      <c r="G40">
        <v>0.9</v>
      </c>
      <c r="H40">
        <v>5.0000000000000001E-3</v>
      </c>
      <c r="I40">
        <v>120</v>
      </c>
      <c r="J40">
        <v>98</v>
      </c>
      <c r="K40">
        <v>11.881137000000001</v>
      </c>
      <c r="L40">
        <v>16.129469</v>
      </c>
      <c r="M40">
        <v>606.54999999999995</v>
      </c>
      <c r="N40" t="s">
        <v>137</v>
      </c>
      <c r="O40" t="s">
        <v>137</v>
      </c>
      <c r="P40">
        <v>4.7980000000000002E-3</v>
      </c>
      <c r="Q40">
        <v>5.4192840000000002</v>
      </c>
      <c r="R40">
        <v>5.4240820000000003</v>
      </c>
      <c r="S40" t="s">
        <v>137</v>
      </c>
      <c r="T40">
        <v>6.4570550000000004</v>
      </c>
      <c r="U40">
        <v>0.119337</v>
      </c>
      <c r="V40">
        <v>1.1299999999999999E-3</v>
      </c>
      <c r="W40">
        <v>5.2059999999999997E-3</v>
      </c>
      <c r="X40" t="s">
        <v>137</v>
      </c>
      <c r="Y40">
        <v>45.65</v>
      </c>
      <c r="Z40" t="s">
        <v>137</v>
      </c>
      <c r="AA40">
        <v>54.35</v>
      </c>
      <c r="AB40">
        <v>1</v>
      </c>
      <c r="AC40">
        <v>0.01</v>
      </c>
      <c r="AD40">
        <v>0.04</v>
      </c>
      <c r="AE40" t="s">
        <v>137</v>
      </c>
    </row>
    <row r="41" spans="1:31" x14ac:dyDescent="0.3">
      <c r="A41" t="s">
        <v>45</v>
      </c>
      <c r="B41">
        <v>3</v>
      </c>
      <c r="C41" t="s">
        <v>137</v>
      </c>
      <c r="D41">
        <v>3</v>
      </c>
      <c r="E41">
        <v>2</v>
      </c>
      <c r="F41">
        <v>0.9</v>
      </c>
      <c r="G41">
        <v>0.9</v>
      </c>
      <c r="H41">
        <v>5.0000000000000001E-3</v>
      </c>
      <c r="I41">
        <v>120</v>
      </c>
      <c r="J41">
        <v>96</v>
      </c>
      <c r="K41">
        <v>8.5691279999999992</v>
      </c>
      <c r="L41">
        <v>12.013707</v>
      </c>
      <c r="M41">
        <v>447.61</v>
      </c>
      <c r="N41" t="s">
        <v>137</v>
      </c>
      <c r="O41" t="s">
        <v>137</v>
      </c>
      <c r="P41">
        <v>4.7499999999999999E-3</v>
      </c>
      <c r="Q41">
        <v>4.4192020000000003</v>
      </c>
      <c r="R41">
        <v>4.4239519999999999</v>
      </c>
      <c r="S41" t="s">
        <v>137</v>
      </c>
      <c r="T41">
        <v>4.1451750000000001</v>
      </c>
      <c r="U41">
        <v>8.8039000000000006E-2</v>
      </c>
      <c r="V41">
        <v>1.137E-3</v>
      </c>
      <c r="W41">
        <v>3.4199999999999999E-3</v>
      </c>
      <c r="X41" t="s">
        <v>137</v>
      </c>
      <c r="Y41">
        <v>51.63</v>
      </c>
      <c r="Z41" t="s">
        <v>137</v>
      </c>
      <c r="AA41">
        <v>48.37</v>
      </c>
      <c r="AB41">
        <v>1.03</v>
      </c>
      <c r="AC41">
        <v>0.01</v>
      </c>
      <c r="AD41">
        <v>0.04</v>
      </c>
      <c r="AE41" t="s">
        <v>137</v>
      </c>
    </row>
    <row r="42" spans="1:31" x14ac:dyDescent="0.3">
      <c r="A42" t="s">
        <v>46</v>
      </c>
      <c r="B42">
        <v>3</v>
      </c>
      <c r="C42" t="s">
        <v>137</v>
      </c>
      <c r="D42">
        <v>3</v>
      </c>
      <c r="E42">
        <v>2</v>
      </c>
      <c r="F42">
        <v>0.9</v>
      </c>
      <c r="G42">
        <v>0.9</v>
      </c>
      <c r="H42">
        <v>5.0000000000000001E-3</v>
      </c>
      <c r="I42">
        <v>120</v>
      </c>
      <c r="J42">
        <v>96</v>
      </c>
      <c r="K42">
        <v>13.104103</v>
      </c>
      <c r="L42">
        <v>15.298568</v>
      </c>
      <c r="M42">
        <v>668.62</v>
      </c>
      <c r="N42" t="s">
        <v>137</v>
      </c>
      <c r="O42" t="s">
        <v>137</v>
      </c>
      <c r="P42">
        <v>4.8669999999999998E-3</v>
      </c>
      <c r="Q42">
        <v>6.0304710000000004</v>
      </c>
      <c r="R42">
        <v>6.0353380000000003</v>
      </c>
      <c r="S42" t="s">
        <v>137</v>
      </c>
      <c r="T42">
        <v>7.0687660000000001</v>
      </c>
      <c r="U42">
        <v>0.13167999999999999</v>
      </c>
      <c r="V42">
        <v>1.1150000000000001E-3</v>
      </c>
      <c r="W42">
        <v>5.424E-3</v>
      </c>
      <c r="X42" t="s">
        <v>137</v>
      </c>
      <c r="Y42">
        <v>46.06</v>
      </c>
      <c r="Z42" t="s">
        <v>137</v>
      </c>
      <c r="AA42">
        <v>53.94</v>
      </c>
      <c r="AB42">
        <v>1</v>
      </c>
      <c r="AC42">
        <v>0.01</v>
      </c>
      <c r="AD42">
        <v>0.04</v>
      </c>
      <c r="AE42" t="s">
        <v>137</v>
      </c>
    </row>
    <row r="43" spans="1:31" x14ac:dyDescent="0.3">
      <c r="A43" t="s">
        <v>47</v>
      </c>
      <c r="B43">
        <v>3</v>
      </c>
      <c r="C43" t="s">
        <v>137</v>
      </c>
      <c r="D43">
        <v>3</v>
      </c>
      <c r="E43">
        <v>2</v>
      </c>
      <c r="F43">
        <v>0.9</v>
      </c>
      <c r="G43">
        <v>0.9</v>
      </c>
      <c r="H43">
        <v>5.0000000000000001E-3</v>
      </c>
      <c r="I43">
        <v>120</v>
      </c>
      <c r="J43">
        <v>95</v>
      </c>
      <c r="K43">
        <v>11.691898</v>
      </c>
      <c r="L43">
        <v>12.715598</v>
      </c>
      <c r="M43">
        <v>672.11</v>
      </c>
      <c r="N43" t="s">
        <v>137</v>
      </c>
      <c r="O43" t="s">
        <v>137</v>
      </c>
      <c r="P43">
        <v>4.5789999999999997E-3</v>
      </c>
      <c r="Q43">
        <v>5.388312</v>
      </c>
      <c r="R43">
        <v>5.3928909999999997</v>
      </c>
      <c r="S43" t="s">
        <v>137</v>
      </c>
      <c r="T43">
        <v>6.2990060000000003</v>
      </c>
      <c r="U43">
        <v>0.12701100000000001</v>
      </c>
      <c r="V43">
        <v>1.0759999999999999E-3</v>
      </c>
      <c r="W43">
        <v>4.6680000000000003E-3</v>
      </c>
      <c r="X43" t="s">
        <v>137</v>
      </c>
      <c r="Y43">
        <v>46.13</v>
      </c>
      <c r="Z43" t="s">
        <v>137</v>
      </c>
      <c r="AA43">
        <v>53.87</v>
      </c>
      <c r="AB43">
        <v>1.0900000000000001</v>
      </c>
      <c r="AC43">
        <v>0.01</v>
      </c>
      <c r="AD43">
        <v>0.04</v>
      </c>
      <c r="AE43" t="s">
        <v>137</v>
      </c>
    </row>
    <row r="44" spans="1:31" x14ac:dyDescent="0.3">
      <c r="A44" t="s">
        <v>48</v>
      </c>
      <c r="B44">
        <v>3</v>
      </c>
      <c r="C44" t="s">
        <v>137</v>
      </c>
      <c r="D44">
        <v>3</v>
      </c>
      <c r="E44">
        <v>2</v>
      </c>
      <c r="F44">
        <v>0.9</v>
      </c>
      <c r="G44">
        <v>0.9</v>
      </c>
      <c r="H44">
        <v>5.0000000000000001E-3</v>
      </c>
      <c r="I44">
        <v>120</v>
      </c>
      <c r="J44">
        <v>100</v>
      </c>
      <c r="K44">
        <v>6.1851060000000002</v>
      </c>
      <c r="L44">
        <v>6.5115150000000002</v>
      </c>
      <c r="M44">
        <v>333.14</v>
      </c>
      <c r="N44" t="s">
        <v>137</v>
      </c>
      <c r="O44" t="s">
        <v>137</v>
      </c>
      <c r="P44">
        <v>4.2560000000000002E-3</v>
      </c>
      <c r="Q44">
        <v>3.6457830000000002</v>
      </c>
      <c r="R44">
        <v>3.650039</v>
      </c>
      <c r="S44" t="s">
        <v>137</v>
      </c>
      <c r="T44">
        <v>2.5350670000000002</v>
      </c>
      <c r="U44">
        <v>6.0753000000000001E-2</v>
      </c>
      <c r="V44">
        <v>1.0399999999999999E-3</v>
      </c>
      <c r="W44">
        <v>2.408E-3</v>
      </c>
      <c r="X44" t="s">
        <v>137</v>
      </c>
      <c r="Y44">
        <v>59.01</v>
      </c>
      <c r="Z44" t="s">
        <v>137</v>
      </c>
      <c r="AA44">
        <v>40.99</v>
      </c>
      <c r="AB44">
        <v>0.98</v>
      </c>
      <c r="AC44">
        <v>0.02</v>
      </c>
      <c r="AD44">
        <v>0.04</v>
      </c>
      <c r="AE44" t="s">
        <v>137</v>
      </c>
    </row>
    <row r="45" spans="1:31" x14ac:dyDescent="0.3">
      <c r="A45" t="s">
        <v>49</v>
      </c>
      <c r="B45">
        <v>3</v>
      </c>
      <c r="C45" t="s">
        <v>137</v>
      </c>
      <c r="D45">
        <v>3</v>
      </c>
      <c r="E45">
        <v>2</v>
      </c>
      <c r="F45">
        <v>0.9</v>
      </c>
      <c r="G45">
        <v>0.9</v>
      </c>
      <c r="H45">
        <v>5.0000000000000001E-3</v>
      </c>
      <c r="I45">
        <v>120</v>
      </c>
      <c r="J45">
        <v>94</v>
      </c>
      <c r="K45">
        <v>11.91717</v>
      </c>
      <c r="L45">
        <v>13.273501</v>
      </c>
      <c r="M45">
        <v>561.39</v>
      </c>
      <c r="N45" t="s">
        <v>137</v>
      </c>
      <c r="O45" t="s">
        <v>137</v>
      </c>
      <c r="P45">
        <v>4.9560000000000003E-3</v>
      </c>
      <c r="Q45">
        <v>6.3579829999999999</v>
      </c>
      <c r="R45">
        <v>6.3629389999999999</v>
      </c>
      <c r="S45" t="s">
        <v>137</v>
      </c>
      <c r="T45">
        <v>5.5542299999999996</v>
      </c>
      <c r="U45">
        <v>0.127141</v>
      </c>
      <c r="V45">
        <v>1.2019999999999999E-3</v>
      </c>
      <c r="W45">
        <v>5.9839999999999997E-3</v>
      </c>
      <c r="X45" t="s">
        <v>137</v>
      </c>
      <c r="Y45">
        <v>53.39</v>
      </c>
      <c r="Z45" t="s">
        <v>137</v>
      </c>
      <c r="AA45">
        <v>46.61</v>
      </c>
      <c r="AB45">
        <v>1.07</v>
      </c>
      <c r="AC45">
        <v>0.01</v>
      </c>
      <c r="AD45">
        <v>0.05</v>
      </c>
      <c r="AE45" t="s">
        <v>137</v>
      </c>
    </row>
    <row r="46" spans="1:31" x14ac:dyDescent="0.3">
      <c r="A46" t="s">
        <v>50</v>
      </c>
      <c r="B46">
        <v>3</v>
      </c>
      <c r="C46" t="s">
        <v>137</v>
      </c>
      <c r="D46">
        <v>3</v>
      </c>
      <c r="E46">
        <v>2</v>
      </c>
      <c r="F46">
        <v>0.9</v>
      </c>
      <c r="G46">
        <v>0.9</v>
      </c>
      <c r="H46">
        <v>5.0000000000000001E-3</v>
      </c>
      <c r="I46">
        <v>120</v>
      </c>
      <c r="J46">
        <v>99</v>
      </c>
      <c r="K46">
        <v>6.0831929999999996</v>
      </c>
      <c r="L46">
        <v>7.5174079999999996</v>
      </c>
      <c r="M46">
        <v>362.66</v>
      </c>
      <c r="N46" t="s">
        <v>137</v>
      </c>
      <c r="O46" t="s">
        <v>137</v>
      </c>
      <c r="P46">
        <v>4.3709999999999999E-3</v>
      </c>
      <c r="Q46">
        <v>3.4114909999999998</v>
      </c>
      <c r="R46">
        <v>3.4158629999999999</v>
      </c>
      <c r="S46" t="s">
        <v>137</v>
      </c>
      <c r="T46">
        <v>2.6673309999999999</v>
      </c>
      <c r="U46">
        <v>6.5914E-2</v>
      </c>
      <c r="V46">
        <v>1.0690000000000001E-3</v>
      </c>
      <c r="W46">
        <v>2.8340000000000001E-3</v>
      </c>
      <c r="X46" t="s">
        <v>137</v>
      </c>
      <c r="Y46">
        <v>56.15</v>
      </c>
      <c r="Z46" t="s">
        <v>137</v>
      </c>
      <c r="AA46">
        <v>43.85</v>
      </c>
      <c r="AB46">
        <v>1.08</v>
      </c>
      <c r="AC46">
        <v>0.02</v>
      </c>
      <c r="AD46">
        <v>0.05</v>
      </c>
      <c r="AE46" t="s">
        <v>137</v>
      </c>
    </row>
    <row r="47" spans="1:31" x14ac:dyDescent="0.3">
      <c r="A47" t="s">
        <v>51</v>
      </c>
      <c r="B47">
        <v>3</v>
      </c>
      <c r="C47" t="s">
        <v>137</v>
      </c>
      <c r="D47">
        <v>3</v>
      </c>
      <c r="E47">
        <v>2</v>
      </c>
      <c r="F47">
        <v>0.9</v>
      </c>
      <c r="G47">
        <v>0.9</v>
      </c>
      <c r="H47">
        <v>5.0000000000000001E-3</v>
      </c>
      <c r="I47">
        <v>120</v>
      </c>
      <c r="J47">
        <v>66</v>
      </c>
      <c r="K47">
        <v>31.351006000000002</v>
      </c>
      <c r="L47">
        <v>31.664100000000001</v>
      </c>
      <c r="M47">
        <v>1742.36</v>
      </c>
      <c r="N47" t="s">
        <v>137</v>
      </c>
      <c r="O47" t="s">
        <v>137</v>
      </c>
      <c r="P47">
        <v>4.248E-3</v>
      </c>
      <c r="Q47">
        <v>8.5662540000000007</v>
      </c>
      <c r="R47">
        <v>8.5705019999999994</v>
      </c>
      <c r="S47" t="s">
        <v>137</v>
      </c>
      <c r="T47">
        <v>22.780505000000002</v>
      </c>
      <c r="U47">
        <v>0.318133</v>
      </c>
      <c r="V47">
        <v>1.129E-3</v>
      </c>
      <c r="W47">
        <v>1.2888999999999999E-2</v>
      </c>
      <c r="X47" t="s">
        <v>137</v>
      </c>
      <c r="Y47">
        <v>27.34</v>
      </c>
      <c r="Z47" t="s">
        <v>137</v>
      </c>
      <c r="AA47">
        <v>72.66</v>
      </c>
      <c r="AB47">
        <v>1.01</v>
      </c>
      <c r="AC47">
        <v>0</v>
      </c>
      <c r="AD47">
        <v>0.04</v>
      </c>
      <c r="AE47" t="s">
        <v>137</v>
      </c>
    </row>
    <row r="48" spans="1:31" x14ac:dyDescent="0.3">
      <c r="A48" t="s">
        <v>52</v>
      </c>
      <c r="B48">
        <v>3</v>
      </c>
      <c r="C48" t="s">
        <v>137</v>
      </c>
      <c r="D48">
        <v>3</v>
      </c>
      <c r="E48">
        <v>2</v>
      </c>
      <c r="F48">
        <v>0.9</v>
      </c>
      <c r="G48">
        <v>0.9</v>
      </c>
      <c r="H48">
        <v>5.0000000000000001E-3</v>
      </c>
      <c r="I48">
        <v>120</v>
      </c>
      <c r="J48">
        <v>100</v>
      </c>
      <c r="K48">
        <v>7.1238789999999996</v>
      </c>
      <c r="L48">
        <v>8.9817199999999993</v>
      </c>
      <c r="M48">
        <v>385.52</v>
      </c>
      <c r="N48" t="s">
        <v>137</v>
      </c>
      <c r="O48" t="s">
        <v>137</v>
      </c>
      <c r="P48">
        <v>4.2030000000000001E-3</v>
      </c>
      <c r="Q48">
        <v>3.8283659999999999</v>
      </c>
      <c r="R48">
        <v>3.8325689999999999</v>
      </c>
      <c r="S48" t="s">
        <v>137</v>
      </c>
      <c r="T48">
        <v>3.2913100000000002</v>
      </c>
      <c r="U48">
        <v>7.0305999999999993E-2</v>
      </c>
      <c r="V48">
        <v>1.0549999999999999E-3</v>
      </c>
      <c r="W48">
        <v>2.9320000000000001E-3</v>
      </c>
      <c r="X48" t="s">
        <v>137</v>
      </c>
      <c r="Y48">
        <v>53.8</v>
      </c>
      <c r="Z48" t="s">
        <v>137</v>
      </c>
      <c r="AA48">
        <v>46.2</v>
      </c>
      <c r="AB48">
        <v>0.99</v>
      </c>
      <c r="AC48">
        <v>0.01</v>
      </c>
      <c r="AD48">
        <v>0.04</v>
      </c>
      <c r="AE48" t="s">
        <v>137</v>
      </c>
    </row>
    <row r="49" spans="1:31" x14ac:dyDescent="0.3">
      <c r="A49" t="s">
        <v>53</v>
      </c>
      <c r="B49">
        <v>3</v>
      </c>
      <c r="C49" t="s">
        <v>137</v>
      </c>
      <c r="D49">
        <v>3</v>
      </c>
      <c r="E49">
        <v>2</v>
      </c>
      <c r="F49">
        <v>0.9</v>
      </c>
      <c r="G49">
        <v>0.9</v>
      </c>
      <c r="H49">
        <v>5.0000000000000001E-3</v>
      </c>
      <c r="I49">
        <v>120</v>
      </c>
      <c r="J49">
        <v>96</v>
      </c>
      <c r="K49">
        <v>9.0146789999999992</v>
      </c>
      <c r="L49">
        <v>14.139561</v>
      </c>
      <c r="M49">
        <v>478.05</v>
      </c>
      <c r="N49" t="s">
        <v>137</v>
      </c>
      <c r="O49" t="s">
        <v>137</v>
      </c>
      <c r="P49">
        <v>4.202E-3</v>
      </c>
      <c r="Q49">
        <v>4.2079880000000003</v>
      </c>
      <c r="R49">
        <v>4.2121899999999997</v>
      </c>
      <c r="S49" t="s">
        <v>137</v>
      </c>
      <c r="T49">
        <v>4.8024880000000003</v>
      </c>
      <c r="U49">
        <v>8.6921999999999999E-2</v>
      </c>
      <c r="V49">
        <v>1.0839999999999999E-3</v>
      </c>
      <c r="W49">
        <v>3.264E-3</v>
      </c>
      <c r="X49" t="s">
        <v>137</v>
      </c>
      <c r="Y49">
        <v>46.73</v>
      </c>
      <c r="Z49" t="s">
        <v>137</v>
      </c>
      <c r="AA49">
        <v>53.27</v>
      </c>
      <c r="AB49">
        <v>0.96</v>
      </c>
      <c r="AC49">
        <v>0.01</v>
      </c>
      <c r="AD49">
        <v>0.04</v>
      </c>
      <c r="AE49" t="s">
        <v>137</v>
      </c>
    </row>
    <row r="50" spans="1:31" x14ac:dyDescent="0.3">
      <c r="A50" t="s">
        <v>54</v>
      </c>
      <c r="B50">
        <v>3</v>
      </c>
      <c r="C50" t="s">
        <v>137</v>
      </c>
      <c r="D50">
        <v>3</v>
      </c>
      <c r="E50">
        <v>2</v>
      </c>
      <c r="F50">
        <v>0.9</v>
      </c>
      <c r="G50">
        <v>0.9</v>
      </c>
      <c r="H50">
        <v>5.0000000000000001E-3</v>
      </c>
      <c r="I50">
        <v>120</v>
      </c>
      <c r="J50">
        <v>100</v>
      </c>
      <c r="K50">
        <v>8.6760400000000004</v>
      </c>
      <c r="L50">
        <v>10.877795000000001</v>
      </c>
      <c r="M50">
        <v>435.64</v>
      </c>
      <c r="N50" t="s">
        <v>137</v>
      </c>
      <c r="O50" t="s">
        <v>137</v>
      </c>
      <c r="P50">
        <v>4.7829999999999999E-3</v>
      </c>
      <c r="Q50">
        <v>4.6311850000000003</v>
      </c>
      <c r="R50">
        <v>4.6359669999999999</v>
      </c>
      <c r="S50" t="s">
        <v>137</v>
      </c>
      <c r="T50">
        <v>4.0400720000000003</v>
      </c>
      <c r="U50">
        <v>8.5364999999999996E-2</v>
      </c>
      <c r="V50">
        <v>1.0629999999999999E-3</v>
      </c>
      <c r="W50">
        <v>3.4420000000000002E-3</v>
      </c>
      <c r="X50" t="s">
        <v>137</v>
      </c>
      <c r="Y50">
        <v>53.43</v>
      </c>
      <c r="Z50" t="s">
        <v>137</v>
      </c>
      <c r="AA50">
        <v>46.57</v>
      </c>
      <c r="AB50">
        <v>0.98</v>
      </c>
      <c r="AC50">
        <v>0.01</v>
      </c>
      <c r="AD50">
        <v>0.04</v>
      </c>
      <c r="AE50" t="s">
        <v>137</v>
      </c>
    </row>
    <row r="51" spans="1:31" x14ac:dyDescent="0.3">
      <c r="A51" t="s">
        <v>55</v>
      </c>
      <c r="B51">
        <v>3</v>
      </c>
      <c r="C51" t="s">
        <v>137</v>
      </c>
      <c r="D51">
        <v>3</v>
      </c>
      <c r="E51">
        <v>2</v>
      </c>
      <c r="F51">
        <v>0.9</v>
      </c>
      <c r="G51">
        <v>0.9</v>
      </c>
      <c r="H51">
        <v>5.0000000000000001E-3</v>
      </c>
      <c r="I51">
        <v>120</v>
      </c>
      <c r="J51">
        <v>91</v>
      </c>
      <c r="K51">
        <v>13.959187</v>
      </c>
      <c r="L51">
        <v>24.770579000000001</v>
      </c>
      <c r="M51">
        <v>627.07000000000005</v>
      </c>
      <c r="N51" t="s">
        <v>137</v>
      </c>
      <c r="O51" t="s">
        <v>137</v>
      </c>
      <c r="P51">
        <v>5.7289999999999997E-3</v>
      </c>
      <c r="Q51">
        <v>5.5782379999999998</v>
      </c>
      <c r="R51">
        <v>5.5839670000000003</v>
      </c>
      <c r="S51" t="s">
        <v>137</v>
      </c>
      <c r="T51">
        <v>8.3752209999999998</v>
      </c>
      <c r="U51">
        <v>0.15110999999999999</v>
      </c>
      <c r="V51">
        <v>1.292E-3</v>
      </c>
      <c r="W51">
        <v>6.9210000000000001E-3</v>
      </c>
      <c r="X51" t="s">
        <v>137</v>
      </c>
      <c r="Y51">
        <v>40</v>
      </c>
      <c r="Z51" t="s">
        <v>137</v>
      </c>
      <c r="AA51">
        <v>60</v>
      </c>
      <c r="AB51">
        <v>1.08</v>
      </c>
      <c r="AC51">
        <v>0.01</v>
      </c>
      <c r="AD51">
        <v>0.05</v>
      </c>
      <c r="AE51" t="s">
        <v>137</v>
      </c>
    </row>
    <row r="52" spans="1:31" x14ac:dyDescent="0.3">
      <c r="A52" t="s">
        <v>56</v>
      </c>
      <c r="B52">
        <v>3</v>
      </c>
      <c r="C52" t="s">
        <v>137</v>
      </c>
      <c r="D52">
        <v>3</v>
      </c>
      <c r="E52">
        <v>2</v>
      </c>
      <c r="F52">
        <v>0.9</v>
      </c>
      <c r="G52">
        <v>0.9</v>
      </c>
      <c r="H52">
        <v>5.0000000000000001E-3</v>
      </c>
      <c r="I52">
        <v>120</v>
      </c>
      <c r="J52">
        <v>99</v>
      </c>
      <c r="K52">
        <v>9.2319139999999997</v>
      </c>
      <c r="L52">
        <v>12.581968</v>
      </c>
      <c r="M52">
        <v>408.08</v>
      </c>
      <c r="N52" t="s">
        <v>137</v>
      </c>
      <c r="O52" t="s">
        <v>137</v>
      </c>
      <c r="P52">
        <v>5.0159999999999996E-3</v>
      </c>
      <c r="Q52">
        <v>5.0246459999999997</v>
      </c>
      <c r="R52">
        <v>5.0296609999999999</v>
      </c>
      <c r="S52" t="s">
        <v>137</v>
      </c>
      <c r="T52">
        <v>4.2022529999999998</v>
      </c>
      <c r="U52">
        <v>9.2050999999999994E-2</v>
      </c>
      <c r="V52">
        <v>1.2459999999999999E-3</v>
      </c>
      <c r="W52">
        <v>4.1149999999999997E-3</v>
      </c>
      <c r="X52" t="s">
        <v>137</v>
      </c>
      <c r="Y52">
        <v>54.48</v>
      </c>
      <c r="Z52" t="s">
        <v>137</v>
      </c>
      <c r="AA52">
        <v>45.52</v>
      </c>
      <c r="AB52">
        <v>1</v>
      </c>
      <c r="AC52">
        <v>0.01</v>
      </c>
      <c r="AD52">
        <v>0.04</v>
      </c>
      <c r="AE52" t="s">
        <v>137</v>
      </c>
    </row>
    <row r="53" spans="1:31" x14ac:dyDescent="0.3">
      <c r="A53" t="s">
        <v>57</v>
      </c>
      <c r="B53">
        <v>3</v>
      </c>
      <c r="C53" t="s">
        <v>137</v>
      </c>
      <c r="D53">
        <v>3</v>
      </c>
      <c r="E53">
        <v>2</v>
      </c>
      <c r="F53">
        <v>0.9</v>
      </c>
      <c r="G53">
        <v>0.9</v>
      </c>
      <c r="H53">
        <v>5.0000000000000001E-3</v>
      </c>
      <c r="I53">
        <v>120</v>
      </c>
      <c r="J53">
        <v>99</v>
      </c>
      <c r="K53">
        <v>8.5663529999999994</v>
      </c>
      <c r="L53">
        <v>12.563938</v>
      </c>
      <c r="M53">
        <v>278.17</v>
      </c>
      <c r="N53" t="s">
        <v>137</v>
      </c>
      <c r="O53" t="s">
        <v>137</v>
      </c>
      <c r="P53">
        <v>7.5160000000000001E-3</v>
      </c>
      <c r="Q53">
        <v>5.1509879999999999</v>
      </c>
      <c r="R53">
        <v>5.1585039999999998</v>
      </c>
      <c r="S53" t="s">
        <v>137</v>
      </c>
      <c r="T53">
        <v>3.4078490000000001</v>
      </c>
      <c r="U53">
        <v>8.3290000000000003E-2</v>
      </c>
      <c r="V53">
        <v>1.6770000000000001E-3</v>
      </c>
      <c r="W53">
        <v>4.1200000000000004E-3</v>
      </c>
      <c r="X53" t="s">
        <v>137</v>
      </c>
      <c r="Y53">
        <v>60.22</v>
      </c>
      <c r="Z53" t="s">
        <v>137</v>
      </c>
      <c r="AA53">
        <v>39.78</v>
      </c>
      <c r="AB53">
        <v>0.97</v>
      </c>
      <c r="AC53">
        <v>0.02</v>
      </c>
      <c r="AD53">
        <v>0.05</v>
      </c>
      <c r="AE53" t="s">
        <v>137</v>
      </c>
    </row>
    <row r="54" spans="1:31" x14ac:dyDescent="0.3">
      <c r="A54" t="s">
        <v>58</v>
      </c>
      <c r="B54">
        <v>3</v>
      </c>
      <c r="C54" t="s">
        <v>137</v>
      </c>
      <c r="D54">
        <v>3</v>
      </c>
      <c r="E54">
        <v>2</v>
      </c>
      <c r="F54">
        <v>0.9</v>
      </c>
      <c r="G54">
        <v>0.9</v>
      </c>
      <c r="H54">
        <v>5.0000000000000001E-3</v>
      </c>
      <c r="I54">
        <v>120</v>
      </c>
      <c r="J54">
        <v>92</v>
      </c>
      <c r="K54">
        <v>22.014085999999999</v>
      </c>
      <c r="L54">
        <v>23.483452</v>
      </c>
      <c r="M54">
        <v>974.1</v>
      </c>
      <c r="N54" t="s">
        <v>137</v>
      </c>
      <c r="O54" t="s">
        <v>137</v>
      </c>
      <c r="P54">
        <v>5.4520000000000002E-3</v>
      </c>
      <c r="Q54">
        <v>8.7703009999999999</v>
      </c>
      <c r="R54">
        <v>8.7757529999999999</v>
      </c>
      <c r="S54" t="s">
        <v>137</v>
      </c>
      <c r="T54">
        <v>13.238333000000001</v>
      </c>
      <c r="U54">
        <v>0.21878600000000001</v>
      </c>
      <c r="V54">
        <v>1.209E-3</v>
      </c>
      <c r="W54">
        <v>9.5779999999999997E-3</v>
      </c>
      <c r="X54" t="s">
        <v>137</v>
      </c>
      <c r="Y54">
        <v>39.86</v>
      </c>
      <c r="Z54" t="s">
        <v>137</v>
      </c>
      <c r="AA54">
        <v>60.14</v>
      </c>
      <c r="AB54">
        <v>0.99</v>
      </c>
      <c r="AC54">
        <v>0.01</v>
      </c>
      <c r="AD54">
        <v>0.04</v>
      </c>
      <c r="AE54" t="s">
        <v>137</v>
      </c>
    </row>
    <row r="55" spans="1:31" x14ac:dyDescent="0.3">
      <c r="A55" t="s">
        <v>59</v>
      </c>
      <c r="B55">
        <v>3</v>
      </c>
      <c r="C55" t="s">
        <v>137</v>
      </c>
      <c r="D55">
        <v>3</v>
      </c>
      <c r="E55">
        <v>2</v>
      </c>
      <c r="F55">
        <v>0.9</v>
      </c>
      <c r="G55">
        <v>0.9</v>
      </c>
      <c r="H55">
        <v>5.0000000000000001E-3</v>
      </c>
      <c r="I55">
        <v>120</v>
      </c>
      <c r="J55">
        <v>100</v>
      </c>
      <c r="K55">
        <v>3.178741</v>
      </c>
      <c r="L55">
        <v>3.0697930000000002</v>
      </c>
      <c r="M55">
        <v>143.37</v>
      </c>
      <c r="N55" t="s">
        <v>137</v>
      </c>
      <c r="O55" t="s">
        <v>137</v>
      </c>
      <c r="P55">
        <v>5.5649999999999996E-3</v>
      </c>
      <c r="Q55">
        <v>2.2716449999999999</v>
      </c>
      <c r="R55">
        <v>2.2772100000000002</v>
      </c>
      <c r="S55" t="s">
        <v>137</v>
      </c>
      <c r="T55">
        <v>0.90153000000000005</v>
      </c>
      <c r="U55">
        <v>3.2375000000000001E-2</v>
      </c>
      <c r="V55">
        <v>1.206E-3</v>
      </c>
      <c r="W55">
        <v>1.4289999999999999E-3</v>
      </c>
      <c r="X55" t="s">
        <v>137</v>
      </c>
      <c r="Y55">
        <v>71.64</v>
      </c>
      <c r="Z55" t="s">
        <v>137</v>
      </c>
      <c r="AA55">
        <v>28.36</v>
      </c>
      <c r="AB55">
        <v>1.02</v>
      </c>
      <c r="AC55">
        <v>0.04</v>
      </c>
      <c r="AD55">
        <v>0.04</v>
      </c>
      <c r="AE55" t="s">
        <v>137</v>
      </c>
    </row>
    <row r="56" spans="1:31" x14ac:dyDescent="0.3">
      <c r="A56" t="s">
        <v>60</v>
      </c>
      <c r="B56">
        <v>3</v>
      </c>
      <c r="C56" t="s">
        <v>137</v>
      </c>
      <c r="D56">
        <v>3</v>
      </c>
      <c r="E56">
        <v>2</v>
      </c>
      <c r="F56">
        <v>0.9</v>
      </c>
      <c r="G56">
        <v>0.9</v>
      </c>
      <c r="H56">
        <v>5.0000000000000001E-3</v>
      </c>
      <c r="I56">
        <v>120</v>
      </c>
      <c r="J56">
        <v>98</v>
      </c>
      <c r="K56">
        <v>9.0937950000000001</v>
      </c>
      <c r="L56">
        <v>15.878458999999999</v>
      </c>
      <c r="M56">
        <v>390.55</v>
      </c>
      <c r="N56" t="s">
        <v>137</v>
      </c>
      <c r="O56" t="s">
        <v>137</v>
      </c>
      <c r="P56">
        <v>5.5690000000000002E-3</v>
      </c>
      <c r="Q56">
        <v>4.7594880000000002</v>
      </c>
      <c r="R56">
        <v>4.7650569999999997</v>
      </c>
      <c r="S56" t="s">
        <v>137</v>
      </c>
      <c r="T56">
        <v>4.3287380000000004</v>
      </c>
      <c r="U56">
        <v>8.9305999999999996E-2</v>
      </c>
      <c r="V56">
        <v>1.237E-3</v>
      </c>
      <c r="W56">
        <v>4.5880000000000001E-3</v>
      </c>
      <c r="X56" t="s">
        <v>137</v>
      </c>
      <c r="Y56">
        <v>52.4</v>
      </c>
      <c r="Z56" t="s">
        <v>137</v>
      </c>
      <c r="AA56">
        <v>47.6</v>
      </c>
      <c r="AB56">
        <v>0.98</v>
      </c>
      <c r="AC56">
        <v>0.01</v>
      </c>
      <c r="AD56">
        <v>0.05</v>
      </c>
      <c r="AE56" t="s">
        <v>137</v>
      </c>
    </row>
    <row r="57" spans="1:31" x14ac:dyDescent="0.3">
      <c r="A57" t="s">
        <v>61</v>
      </c>
      <c r="B57">
        <v>3</v>
      </c>
      <c r="C57" t="s">
        <v>137</v>
      </c>
      <c r="D57">
        <v>3</v>
      </c>
      <c r="E57">
        <v>2</v>
      </c>
      <c r="F57">
        <v>0.9</v>
      </c>
      <c r="G57">
        <v>0.9</v>
      </c>
      <c r="H57">
        <v>5.0000000000000001E-3</v>
      </c>
      <c r="I57">
        <v>120</v>
      </c>
      <c r="J57">
        <v>100</v>
      </c>
      <c r="K57">
        <v>3.7325409999999999</v>
      </c>
      <c r="L57">
        <v>5.5608820000000003</v>
      </c>
      <c r="M57">
        <v>182.14</v>
      </c>
      <c r="N57" t="s">
        <v>137</v>
      </c>
      <c r="O57" t="s">
        <v>137</v>
      </c>
      <c r="P57">
        <v>5.1110000000000001E-3</v>
      </c>
      <c r="Q57">
        <v>2.4930129999999999</v>
      </c>
      <c r="R57">
        <v>2.4981239999999998</v>
      </c>
      <c r="S57" t="s">
        <v>137</v>
      </c>
      <c r="T57">
        <v>1.2344170000000001</v>
      </c>
      <c r="U57">
        <v>3.7867999999999999E-2</v>
      </c>
      <c r="V57">
        <v>1.057E-3</v>
      </c>
      <c r="W57">
        <v>1.6130000000000001E-3</v>
      </c>
      <c r="X57" t="s">
        <v>137</v>
      </c>
      <c r="Y57">
        <v>66.930000000000007</v>
      </c>
      <c r="Z57" t="s">
        <v>137</v>
      </c>
      <c r="AA57">
        <v>33.07</v>
      </c>
      <c r="AB57">
        <v>1.01</v>
      </c>
      <c r="AC57">
        <v>0.03</v>
      </c>
      <c r="AD57">
        <v>0.04</v>
      </c>
      <c r="AE57" t="s">
        <v>137</v>
      </c>
    </row>
    <row r="58" spans="1:31" x14ac:dyDescent="0.3">
      <c r="A58" t="s">
        <v>62</v>
      </c>
      <c r="B58">
        <v>3</v>
      </c>
      <c r="C58" t="s">
        <v>137</v>
      </c>
      <c r="D58">
        <v>3</v>
      </c>
      <c r="E58">
        <v>2</v>
      </c>
      <c r="F58">
        <v>0.9</v>
      </c>
      <c r="G58">
        <v>0.9</v>
      </c>
      <c r="H58">
        <v>5.0000000000000001E-3</v>
      </c>
      <c r="I58">
        <v>120</v>
      </c>
      <c r="J58">
        <v>91</v>
      </c>
      <c r="K58">
        <v>30.259221</v>
      </c>
      <c r="L58">
        <v>29.314923</v>
      </c>
      <c r="M58">
        <v>1319.04</v>
      </c>
      <c r="N58" t="s">
        <v>137</v>
      </c>
      <c r="O58" t="s">
        <v>137</v>
      </c>
      <c r="P58">
        <v>4.9119999999999997E-3</v>
      </c>
      <c r="Q58">
        <v>10.713571</v>
      </c>
      <c r="R58">
        <v>10.718482</v>
      </c>
      <c r="S58" t="s">
        <v>137</v>
      </c>
      <c r="T58">
        <v>19.540738999999999</v>
      </c>
      <c r="U58">
        <v>0.31106800000000001</v>
      </c>
      <c r="V58">
        <v>1.348E-3</v>
      </c>
      <c r="W58">
        <v>1.4248E-2</v>
      </c>
      <c r="X58" t="s">
        <v>137</v>
      </c>
      <c r="Y58">
        <v>35.42</v>
      </c>
      <c r="Z58" t="s">
        <v>137</v>
      </c>
      <c r="AA58">
        <v>64.58</v>
      </c>
      <c r="AB58">
        <v>1.03</v>
      </c>
      <c r="AC58">
        <v>0</v>
      </c>
      <c r="AD58">
        <v>0.05</v>
      </c>
      <c r="AE58" t="s">
        <v>137</v>
      </c>
    </row>
    <row r="59" spans="1:31" x14ac:dyDescent="0.3">
      <c r="A59" t="s">
        <v>63</v>
      </c>
      <c r="B59">
        <v>3</v>
      </c>
      <c r="C59" t="s">
        <v>137</v>
      </c>
      <c r="D59">
        <v>3</v>
      </c>
      <c r="E59">
        <v>2</v>
      </c>
      <c r="F59">
        <v>0.9</v>
      </c>
      <c r="G59">
        <v>0.9</v>
      </c>
      <c r="H59">
        <v>5.0000000000000001E-3</v>
      </c>
      <c r="I59">
        <v>120</v>
      </c>
      <c r="J59">
        <v>100</v>
      </c>
      <c r="K59">
        <v>6.288862</v>
      </c>
      <c r="L59">
        <v>7.7205320000000004</v>
      </c>
      <c r="M59">
        <v>284.31</v>
      </c>
      <c r="N59" t="s">
        <v>137</v>
      </c>
      <c r="O59" t="s">
        <v>137</v>
      </c>
      <c r="P59">
        <v>5.0549999999999996E-3</v>
      </c>
      <c r="Q59">
        <v>3.902034</v>
      </c>
      <c r="R59">
        <v>3.907089</v>
      </c>
      <c r="S59" t="s">
        <v>137</v>
      </c>
      <c r="T59">
        <v>2.3817740000000001</v>
      </c>
      <c r="U59">
        <v>6.3191999999999998E-2</v>
      </c>
      <c r="V59">
        <v>1.168E-3</v>
      </c>
      <c r="W59">
        <v>2.8519999999999999E-3</v>
      </c>
      <c r="X59" t="s">
        <v>137</v>
      </c>
      <c r="Y59">
        <v>62.13</v>
      </c>
      <c r="Z59" t="s">
        <v>137</v>
      </c>
      <c r="AA59">
        <v>37.869999999999997</v>
      </c>
      <c r="AB59">
        <v>1</v>
      </c>
      <c r="AC59">
        <v>0.02</v>
      </c>
      <c r="AD59">
        <v>0.05</v>
      </c>
      <c r="AE59" t="s">
        <v>137</v>
      </c>
    </row>
    <row r="60" spans="1:31" x14ac:dyDescent="0.3">
      <c r="A60" t="s">
        <v>64</v>
      </c>
      <c r="B60">
        <v>3</v>
      </c>
      <c r="C60" t="s">
        <v>137</v>
      </c>
      <c r="D60">
        <v>3</v>
      </c>
      <c r="E60">
        <v>2</v>
      </c>
      <c r="F60">
        <v>0.9</v>
      </c>
      <c r="G60">
        <v>0.9</v>
      </c>
      <c r="H60">
        <v>5.0000000000000001E-3</v>
      </c>
      <c r="I60">
        <v>120</v>
      </c>
      <c r="J60">
        <v>91</v>
      </c>
      <c r="K60">
        <v>17.226423</v>
      </c>
      <c r="L60">
        <v>19.516552000000001</v>
      </c>
      <c r="M60">
        <v>795.4</v>
      </c>
      <c r="N60" t="s">
        <v>137</v>
      </c>
      <c r="O60" t="s">
        <v>137</v>
      </c>
      <c r="P60">
        <v>5.1120000000000002E-3</v>
      </c>
      <c r="Q60">
        <v>7.6185489999999998</v>
      </c>
      <c r="R60">
        <v>7.6236610000000002</v>
      </c>
      <c r="S60" t="s">
        <v>137</v>
      </c>
      <c r="T60">
        <v>9.6027609999999992</v>
      </c>
      <c r="U60">
        <v>0.189334</v>
      </c>
      <c r="V60">
        <v>1.2310000000000001E-3</v>
      </c>
      <c r="W60">
        <v>9.5750000000000002E-3</v>
      </c>
      <c r="X60" t="s">
        <v>137</v>
      </c>
      <c r="Y60">
        <v>44.26</v>
      </c>
      <c r="Z60" t="s">
        <v>137</v>
      </c>
      <c r="AA60">
        <v>55.74</v>
      </c>
      <c r="AB60">
        <v>1.1000000000000001</v>
      </c>
      <c r="AC60">
        <v>0.01</v>
      </c>
      <c r="AD60">
        <v>0.06</v>
      </c>
      <c r="AE60" t="s">
        <v>137</v>
      </c>
    </row>
    <row r="61" spans="1:31" x14ac:dyDescent="0.3">
      <c r="A61" t="s">
        <v>65</v>
      </c>
      <c r="B61">
        <v>3</v>
      </c>
      <c r="C61" t="s">
        <v>137</v>
      </c>
      <c r="D61">
        <v>3</v>
      </c>
      <c r="E61">
        <v>2</v>
      </c>
      <c r="F61">
        <v>0.9</v>
      </c>
      <c r="G61">
        <v>0.9</v>
      </c>
      <c r="H61">
        <v>5.0000000000000001E-3</v>
      </c>
      <c r="I61">
        <v>120</v>
      </c>
      <c r="J61">
        <v>100</v>
      </c>
      <c r="K61">
        <v>4.0518070000000002</v>
      </c>
      <c r="L61">
        <v>11.302942</v>
      </c>
      <c r="M61">
        <v>182.23</v>
      </c>
      <c r="N61" t="s">
        <v>137</v>
      </c>
      <c r="O61" t="s">
        <v>137</v>
      </c>
      <c r="P61">
        <v>5.0559999999999997E-3</v>
      </c>
      <c r="Q61">
        <v>2.2709709999999999</v>
      </c>
      <c r="R61">
        <v>2.276027</v>
      </c>
      <c r="S61" t="s">
        <v>137</v>
      </c>
      <c r="T61">
        <v>1.7757799999999999</v>
      </c>
      <c r="U61">
        <v>4.1104000000000002E-2</v>
      </c>
      <c r="V61">
        <v>1.119E-3</v>
      </c>
      <c r="W61">
        <v>1.7780000000000001E-3</v>
      </c>
      <c r="X61" t="s">
        <v>137</v>
      </c>
      <c r="Y61">
        <v>56.17</v>
      </c>
      <c r="Z61" t="s">
        <v>137</v>
      </c>
      <c r="AA61">
        <v>43.83</v>
      </c>
      <c r="AB61">
        <v>1.01</v>
      </c>
      <c r="AC61">
        <v>0.03</v>
      </c>
      <c r="AD61">
        <v>0.04</v>
      </c>
      <c r="AE61" t="s">
        <v>137</v>
      </c>
    </row>
    <row r="62" spans="1:31" x14ac:dyDescent="0.3">
      <c r="A62" t="s">
        <v>66</v>
      </c>
      <c r="B62">
        <v>3</v>
      </c>
      <c r="C62" t="s">
        <v>137</v>
      </c>
      <c r="D62">
        <v>3</v>
      </c>
      <c r="E62">
        <v>2</v>
      </c>
      <c r="F62">
        <v>0.9</v>
      </c>
      <c r="G62">
        <v>0.9</v>
      </c>
      <c r="H62">
        <v>5.0000000000000001E-3</v>
      </c>
      <c r="I62">
        <v>120</v>
      </c>
      <c r="J62">
        <v>97</v>
      </c>
      <c r="K62">
        <v>9.7027459999999994</v>
      </c>
      <c r="L62">
        <v>15.011309000000001</v>
      </c>
      <c r="M62">
        <v>441.37</v>
      </c>
      <c r="N62" t="s">
        <v>137</v>
      </c>
      <c r="O62" t="s">
        <v>137</v>
      </c>
      <c r="P62">
        <v>5.4190000000000002E-3</v>
      </c>
      <c r="Q62">
        <v>4.9283340000000004</v>
      </c>
      <c r="R62">
        <v>4.9337530000000003</v>
      </c>
      <c r="S62" t="s">
        <v>137</v>
      </c>
      <c r="T62">
        <v>4.7689940000000002</v>
      </c>
      <c r="U62">
        <v>0.102438</v>
      </c>
      <c r="V62">
        <v>1.2650000000000001E-3</v>
      </c>
      <c r="W62">
        <v>4.3499999999999997E-3</v>
      </c>
      <c r="X62" t="s">
        <v>137</v>
      </c>
      <c r="Y62">
        <v>50.85</v>
      </c>
      <c r="Z62" t="s">
        <v>137</v>
      </c>
      <c r="AA62">
        <v>49.15</v>
      </c>
      <c r="AB62">
        <v>1.06</v>
      </c>
      <c r="AC62">
        <v>0.01</v>
      </c>
      <c r="AD62">
        <v>0.04</v>
      </c>
      <c r="AE62" t="s">
        <v>137</v>
      </c>
    </row>
    <row r="63" spans="1:31" x14ac:dyDescent="0.3">
      <c r="A63" t="s">
        <v>67</v>
      </c>
      <c r="B63">
        <v>3</v>
      </c>
      <c r="C63" t="s">
        <v>137</v>
      </c>
      <c r="D63">
        <v>3</v>
      </c>
      <c r="E63">
        <v>2</v>
      </c>
      <c r="F63">
        <v>0.9</v>
      </c>
      <c r="G63">
        <v>0.9</v>
      </c>
      <c r="H63">
        <v>5.0000000000000001E-3</v>
      </c>
      <c r="I63">
        <v>120</v>
      </c>
      <c r="J63">
        <v>95</v>
      </c>
      <c r="K63">
        <v>12.477133</v>
      </c>
      <c r="L63">
        <v>12.914853000000001</v>
      </c>
      <c r="M63">
        <v>554.45000000000005</v>
      </c>
      <c r="N63" t="s">
        <v>137</v>
      </c>
      <c r="O63" t="s">
        <v>137</v>
      </c>
      <c r="P63">
        <v>5.0549999999999996E-3</v>
      </c>
      <c r="Q63">
        <v>6.6836029999999997</v>
      </c>
      <c r="R63">
        <v>6.6886570000000001</v>
      </c>
      <c r="S63" t="s">
        <v>137</v>
      </c>
      <c r="T63">
        <v>5.7884760000000002</v>
      </c>
      <c r="U63">
        <v>0.13048799999999999</v>
      </c>
      <c r="V63">
        <v>1.2019999999999999E-3</v>
      </c>
      <c r="W63">
        <v>5.2550000000000001E-3</v>
      </c>
      <c r="X63" t="s">
        <v>137</v>
      </c>
      <c r="Y63">
        <v>53.61</v>
      </c>
      <c r="Z63" t="s">
        <v>137</v>
      </c>
      <c r="AA63">
        <v>46.39</v>
      </c>
      <c r="AB63">
        <v>1.05</v>
      </c>
      <c r="AC63">
        <v>0.01</v>
      </c>
      <c r="AD63">
        <v>0.04</v>
      </c>
      <c r="AE63" t="s">
        <v>137</v>
      </c>
    </row>
    <row r="64" spans="1:31" x14ac:dyDescent="0.3">
      <c r="A64" t="s">
        <v>68</v>
      </c>
      <c r="B64">
        <v>3</v>
      </c>
      <c r="C64" t="s">
        <v>137</v>
      </c>
      <c r="D64">
        <v>3</v>
      </c>
      <c r="E64">
        <v>2</v>
      </c>
      <c r="F64">
        <v>0.9</v>
      </c>
      <c r="G64">
        <v>0.9</v>
      </c>
      <c r="H64">
        <v>5.0000000000000001E-3</v>
      </c>
      <c r="I64">
        <v>120</v>
      </c>
      <c r="J64">
        <v>99</v>
      </c>
      <c r="K64">
        <v>9.288252</v>
      </c>
      <c r="L64">
        <v>10.944001</v>
      </c>
      <c r="M64">
        <v>402.72</v>
      </c>
      <c r="N64" t="s">
        <v>137</v>
      </c>
      <c r="O64" t="s">
        <v>137</v>
      </c>
      <c r="P64">
        <v>4.9880000000000002E-3</v>
      </c>
      <c r="Q64">
        <v>5.2920780000000001</v>
      </c>
      <c r="R64">
        <v>5.2970660000000001</v>
      </c>
      <c r="S64" t="s">
        <v>137</v>
      </c>
      <c r="T64">
        <v>3.991187</v>
      </c>
      <c r="U64">
        <v>9.0989E-2</v>
      </c>
      <c r="V64">
        <v>1.1999999999999999E-3</v>
      </c>
      <c r="W64">
        <v>4.241E-3</v>
      </c>
      <c r="X64" t="s">
        <v>137</v>
      </c>
      <c r="Y64">
        <v>57.03</v>
      </c>
      <c r="Z64" t="s">
        <v>137</v>
      </c>
      <c r="AA64">
        <v>42.97</v>
      </c>
      <c r="AB64">
        <v>0.98</v>
      </c>
      <c r="AC64">
        <v>0.01</v>
      </c>
      <c r="AD64">
        <v>0.05</v>
      </c>
      <c r="AE64" t="s">
        <v>137</v>
      </c>
    </row>
    <row r="65" spans="1:31" x14ac:dyDescent="0.3">
      <c r="A65" t="s">
        <v>69</v>
      </c>
      <c r="B65">
        <v>3</v>
      </c>
      <c r="C65" t="s">
        <v>137</v>
      </c>
      <c r="D65">
        <v>3</v>
      </c>
      <c r="E65">
        <v>2</v>
      </c>
      <c r="F65">
        <v>0.9</v>
      </c>
      <c r="G65">
        <v>0.9</v>
      </c>
      <c r="H65">
        <v>5.0000000000000001E-3</v>
      </c>
      <c r="I65">
        <v>120</v>
      </c>
      <c r="J65">
        <v>99</v>
      </c>
      <c r="K65">
        <v>7.9959389999999999</v>
      </c>
      <c r="L65">
        <v>10.959510999999999</v>
      </c>
      <c r="M65">
        <v>360.48</v>
      </c>
      <c r="N65" t="s">
        <v>137</v>
      </c>
      <c r="O65" t="s">
        <v>137</v>
      </c>
      <c r="P65">
        <v>5.0130000000000001E-3</v>
      </c>
      <c r="Q65">
        <v>4.4723860000000002</v>
      </c>
      <c r="R65">
        <v>4.4774000000000003</v>
      </c>
      <c r="S65" t="s">
        <v>137</v>
      </c>
      <c r="T65">
        <v>3.5185399999999998</v>
      </c>
      <c r="U65">
        <v>8.0413999999999999E-2</v>
      </c>
      <c r="V65">
        <v>1.2719999999999999E-3</v>
      </c>
      <c r="W65">
        <v>3.4979999999999998E-3</v>
      </c>
      <c r="X65" t="s">
        <v>137</v>
      </c>
      <c r="Y65">
        <v>56</v>
      </c>
      <c r="Z65" t="s">
        <v>137</v>
      </c>
      <c r="AA65">
        <v>44</v>
      </c>
      <c r="AB65">
        <v>1.01</v>
      </c>
      <c r="AC65">
        <v>0.02</v>
      </c>
      <c r="AD65">
        <v>0.04</v>
      </c>
      <c r="AE65" t="s">
        <v>137</v>
      </c>
    </row>
    <row r="66" spans="1:31" x14ac:dyDescent="0.3">
      <c r="A66" t="s">
        <v>70</v>
      </c>
      <c r="B66">
        <v>3</v>
      </c>
      <c r="C66" t="s">
        <v>137</v>
      </c>
      <c r="D66">
        <v>3</v>
      </c>
      <c r="E66">
        <v>2</v>
      </c>
      <c r="F66">
        <v>0.9</v>
      </c>
      <c r="G66">
        <v>0.9</v>
      </c>
      <c r="H66">
        <v>5.0000000000000001E-3</v>
      </c>
      <c r="I66">
        <v>120</v>
      </c>
      <c r="J66">
        <v>99</v>
      </c>
      <c r="K66">
        <v>4.3182749999999999</v>
      </c>
      <c r="L66">
        <v>4.7085610000000004</v>
      </c>
      <c r="M66">
        <v>207.38</v>
      </c>
      <c r="N66" t="s">
        <v>137</v>
      </c>
      <c r="O66" t="s">
        <v>137</v>
      </c>
      <c r="P66">
        <v>5.1500000000000001E-3</v>
      </c>
      <c r="Q66">
        <v>2.9376220000000002</v>
      </c>
      <c r="R66">
        <v>2.9427720000000002</v>
      </c>
      <c r="S66" t="s">
        <v>137</v>
      </c>
      <c r="T66">
        <v>1.3755029999999999</v>
      </c>
      <c r="U66">
        <v>4.5434000000000002E-2</v>
      </c>
      <c r="V66">
        <v>1.189E-3</v>
      </c>
      <c r="W66">
        <v>2.4260000000000002E-3</v>
      </c>
      <c r="X66" t="s">
        <v>137</v>
      </c>
      <c r="Y66">
        <v>68.150000000000006</v>
      </c>
      <c r="Z66" t="s">
        <v>137</v>
      </c>
      <c r="AA66">
        <v>31.85</v>
      </c>
      <c r="AB66">
        <v>1.05</v>
      </c>
      <c r="AC66">
        <v>0.03</v>
      </c>
      <c r="AD66">
        <v>0.06</v>
      </c>
      <c r="AE66" t="s">
        <v>137</v>
      </c>
    </row>
    <row r="67" spans="1:31" x14ac:dyDescent="0.3">
      <c r="A67" t="s">
        <v>71</v>
      </c>
      <c r="B67">
        <v>3</v>
      </c>
      <c r="C67" t="s">
        <v>137</v>
      </c>
      <c r="D67">
        <v>3</v>
      </c>
      <c r="E67">
        <v>2</v>
      </c>
      <c r="F67">
        <v>0.9</v>
      </c>
      <c r="G67">
        <v>0.9</v>
      </c>
      <c r="H67">
        <v>5.0000000000000001E-3</v>
      </c>
      <c r="I67">
        <v>120</v>
      </c>
      <c r="J67">
        <v>99</v>
      </c>
      <c r="K67">
        <v>12.477116000000001</v>
      </c>
      <c r="L67">
        <v>15.742084999999999</v>
      </c>
      <c r="M67">
        <v>579.47</v>
      </c>
      <c r="N67" t="s">
        <v>137</v>
      </c>
      <c r="O67" t="s">
        <v>137</v>
      </c>
      <c r="P67">
        <v>4.8240000000000002E-3</v>
      </c>
      <c r="Q67">
        <v>6.1732069999999997</v>
      </c>
      <c r="R67">
        <v>6.1780309999999998</v>
      </c>
      <c r="S67" t="s">
        <v>137</v>
      </c>
      <c r="T67">
        <v>6.2990849999999998</v>
      </c>
      <c r="U67">
        <v>0.12209399999999999</v>
      </c>
      <c r="V67">
        <v>1.1980000000000001E-3</v>
      </c>
      <c r="W67">
        <v>5.1539999999999997E-3</v>
      </c>
      <c r="X67" t="s">
        <v>137</v>
      </c>
      <c r="Y67">
        <v>49.51</v>
      </c>
      <c r="Z67" t="s">
        <v>137</v>
      </c>
      <c r="AA67">
        <v>50.49</v>
      </c>
      <c r="AB67">
        <v>0.98</v>
      </c>
      <c r="AC67">
        <v>0.01</v>
      </c>
      <c r="AD67">
        <v>0.04</v>
      </c>
      <c r="AE67" t="s">
        <v>137</v>
      </c>
    </row>
    <row r="68" spans="1:31" x14ac:dyDescent="0.3">
      <c r="A68" t="s">
        <v>72</v>
      </c>
      <c r="B68">
        <v>3</v>
      </c>
      <c r="C68" t="s">
        <v>137</v>
      </c>
      <c r="D68">
        <v>3</v>
      </c>
      <c r="E68">
        <v>2</v>
      </c>
      <c r="F68">
        <v>0.9</v>
      </c>
      <c r="G68">
        <v>0.9</v>
      </c>
      <c r="H68">
        <v>5.0000000000000001E-3</v>
      </c>
      <c r="I68">
        <v>120</v>
      </c>
      <c r="J68">
        <v>100</v>
      </c>
      <c r="K68">
        <v>7.9369050000000003</v>
      </c>
      <c r="L68">
        <v>6.7041110000000002</v>
      </c>
      <c r="M68">
        <v>387.28</v>
      </c>
      <c r="N68" t="s">
        <v>137</v>
      </c>
      <c r="O68" t="s">
        <v>137</v>
      </c>
      <c r="P68">
        <v>4.8479999999999999E-3</v>
      </c>
      <c r="Q68">
        <v>4.8361890000000001</v>
      </c>
      <c r="R68">
        <v>4.8410380000000002</v>
      </c>
      <c r="S68" t="s">
        <v>137</v>
      </c>
      <c r="T68">
        <v>3.0958670000000001</v>
      </c>
      <c r="U68">
        <v>7.8066999999999998E-2</v>
      </c>
      <c r="V68">
        <v>1.093E-3</v>
      </c>
      <c r="W68">
        <v>3.5690000000000001E-3</v>
      </c>
      <c r="X68" t="s">
        <v>137</v>
      </c>
      <c r="Y68">
        <v>60.99</v>
      </c>
      <c r="Z68" t="s">
        <v>137</v>
      </c>
      <c r="AA68">
        <v>39.01</v>
      </c>
      <c r="AB68">
        <v>0.98</v>
      </c>
      <c r="AC68">
        <v>0.01</v>
      </c>
      <c r="AD68">
        <v>0.04</v>
      </c>
      <c r="AE68" t="s">
        <v>137</v>
      </c>
    </row>
    <row r="69" spans="1:31" x14ac:dyDescent="0.3">
      <c r="A69" t="s">
        <v>73</v>
      </c>
      <c r="B69">
        <v>3</v>
      </c>
      <c r="C69" t="s">
        <v>137</v>
      </c>
      <c r="D69">
        <v>3</v>
      </c>
      <c r="E69">
        <v>2</v>
      </c>
      <c r="F69">
        <v>0.9</v>
      </c>
      <c r="G69">
        <v>0.9</v>
      </c>
      <c r="H69">
        <v>5.0000000000000001E-3</v>
      </c>
      <c r="I69">
        <v>120</v>
      </c>
      <c r="J69">
        <v>100</v>
      </c>
      <c r="K69">
        <v>3.6727159999999999</v>
      </c>
      <c r="L69">
        <v>5.3267810000000004</v>
      </c>
      <c r="M69">
        <v>193.01</v>
      </c>
      <c r="N69" t="s">
        <v>137</v>
      </c>
      <c r="O69" t="s">
        <v>137</v>
      </c>
      <c r="P69">
        <v>4.9690000000000003E-3</v>
      </c>
      <c r="Q69">
        <v>2.2889499999999998</v>
      </c>
      <c r="R69">
        <v>2.2939189999999998</v>
      </c>
      <c r="S69" t="s">
        <v>137</v>
      </c>
      <c r="T69">
        <v>1.3787970000000001</v>
      </c>
      <c r="U69">
        <v>3.8689000000000001E-2</v>
      </c>
      <c r="V69">
        <v>1.0009999999999999E-3</v>
      </c>
      <c r="W69">
        <v>1.647E-3</v>
      </c>
      <c r="X69" t="s">
        <v>137</v>
      </c>
      <c r="Y69">
        <v>62.46</v>
      </c>
      <c r="Z69" t="s">
        <v>137</v>
      </c>
      <c r="AA69">
        <v>37.54</v>
      </c>
      <c r="AB69">
        <v>1.05</v>
      </c>
      <c r="AC69">
        <v>0.03</v>
      </c>
      <c r="AD69">
        <v>0.04</v>
      </c>
      <c r="AE69" t="s">
        <v>137</v>
      </c>
    </row>
    <row r="70" spans="1:31" x14ac:dyDescent="0.3">
      <c r="A70" t="s">
        <v>74</v>
      </c>
      <c r="B70">
        <v>3</v>
      </c>
      <c r="C70" t="s">
        <v>137</v>
      </c>
      <c r="D70">
        <v>3</v>
      </c>
      <c r="E70">
        <v>2</v>
      </c>
      <c r="F70">
        <v>0.9</v>
      </c>
      <c r="G70">
        <v>0.9</v>
      </c>
      <c r="H70">
        <v>5.0000000000000001E-3</v>
      </c>
      <c r="I70">
        <v>120</v>
      </c>
      <c r="J70">
        <v>96</v>
      </c>
      <c r="K70">
        <v>19.024279</v>
      </c>
      <c r="L70">
        <v>23.664255000000001</v>
      </c>
      <c r="M70">
        <v>880.92</v>
      </c>
      <c r="N70" t="s">
        <v>137</v>
      </c>
      <c r="O70" t="s">
        <v>137</v>
      </c>
      <c r="P70">
        <v>4.9839999999999997E-3</v>
      </c>
      <c r="Q70">
        <v>7.5944029999999998</v>
      </c>
      <c r="R70">
        <v>7.5993870000000001</v>
      </c>
      <c r="S70" t="s">
        <v>137</v>
      </c>
      <c r="T70">
        <v>11.424892</v>
      </c>
      <c r="U70">
        <v>0.198661</v>
      </c>
      <c r="V70">
        <v>1.196E-3</v>
      </c>
      <c r="W70">
        <v>9.6950000000000005E-3</v>
      </c>
      <c r="X70" t="s">
        <v>137</v>
      </c>
      <c r="Y70">
        <v>39.950000000000003</v>
      </c>
      <c r="Z70" t="s">
        <v>137</v>
      </c>
      <c r="AA70">
        <v>60.05</v>
      </c>
      <c r="AB70">
        <v>1.04</v>
      </c>
      <c r="AC70">
        <v>0.01</v>
      </c>
      <c r="AD70">
        <v>0.05</v>
      </c>
      <c r="AE70" t="s">
        <v>137</v>
      </c>
    </row>
    <row r="71" spans="1:31" x14ac:dyDescent="0.3">
      <c r="A71" t="s">
        <v>75</v>
      </c>
      <c r="B71">
        <v>3</v>
      </c>
      <c r="C71" t="s">
        <v>137</v>
      </c>
      <c r="D71">
        <v>3</v>
      </c>
      <c r="E71">
        <v>2</v>
      </c>
      <c r="F71">
        <v>0.9</v>
      </c>
      <c r="G71">
        <v>0.9</v>
      </c>
      <c r="H71">
        <v>5.0000000000000001E-3</v>
      </c>
      <c r="I71">
        <v>120</v>
      </c>
      <c r="J71">
        <v>82</v>
      </c>
      <c r="K71">
        <v>23.162521000000002</v>
      </c>
      <c r="L71">
        <v>29.658674999999999</v>
      </c>
      <c r="M71">
        <v>992.04</v>
      </c>
      <c r="N71" t="s">
        <v>137</v>
      </c>
      <c r="O71" t="s">
        <v>137</v>
      </c>
      <c r="P71">
        <v>5.4730000000000004E-3</v>
      </c>
      <c r="Q71">
        <v>8.2268319999999999</v>
      </c>
      <c r="R71">
        <v>8.2323050000000002</v>
      </c>
      <c r="S71" t="s">
        <v>137</v>
      </c>
      <c r="T71">
        <v>14.930216</v>
      </c>
      <c r="U71">
        <v>0.24809300000000001</v>
      </c>
      <c r="V71">
        <v>1.4970000000000001E-3</v>
      </c>
      <c r="W71">
        <v>1.0754E-2</v>
      </c>
      <c r="X71" t="s">
        <v>137</v>
      </c>
      <c r="Y71">
        <v>35.54</v>
      </c>
      <c r="Z71" t="s">
        <v>137</v>
      </c>
      <c r="AA71">
        <v>64.459999999999994</v>
      </c>
      <c r="AB71">
        <v>1.07</v>
      </c>
      <c r="AC71">
        <v>0.01</v>
      </c>
      <c r="AD71">
        <v>0.05</v>
      </c>
      <c r="AE71" t="s">
        <v>137</v>
      </c>
    </row>
    <row r="72" spans="1:31" x14ac:dyDescent="0.3">
      <c r="A72" t="s">
        <v>76</v>
      </c>
      <c r="B72">
        <v>3</v>
      </c>
      <c r="C72" t="s">
        <v>137</v>
      </c>
      <c r="D72">
        <v>3</v>
      </c>
      <c r="E72">
        <v>2</v>
      </c>
      <c r="F72">
        <v>0.9</v>
      </c>
      <c r="G72">
        <v>0.9</v>
      </c>
      <c r="H72">
        <v>5.0000000000000001E-3</v>
      </c>
      <c r="I72">
        <v>120</v>
      </c>
      <c r="J72">
        <v>100</v>
      </c>
      <c r="K72">
        <v>4.3166650000000004</v>
      </c>
      <c r="L72">
        <v>4.1736579999999996</v>
      </c>
      <c r="M72">
        <v>168.33</v>
      </c>
      <c r="N72" t="s">
        <v>137</v>
      </c>
      <c r="O72" t="s">
        <v>137</v>
      </c>
      <c r="P72">
        <v>6.1019999999999998E-3</v>
      </c>
      <c r="Q72">
        <v>3.03234</v>
      </c>
      <c r="R72">
        <v>3.038443</v>
      </c>
      <c r="S72" t="s">
        <v>137</v>
      </c>
      <c r="T72">
        <v>1.2782230000000001</v>
      </c>
      <c r="U72">
        <v>4.2479000000000003E-2</v>
      </c>
      <c r="V72">
        <v>1.4009999999999999E-3</v>
      </c>
      <c r="W72">
        <v>2.1879999999999998E-3</v>
      </c>
      <c r="X72" t="s">
        <v>137</v>
      </c>
      <c r="Y72">
        <v>70.39</v>
      </c>
      <c r="Z72" t="s">
        <v>137</v>
      </c>
      <c r="AA72">
        <v>29.61</v>
      </c>
      <c r="AB72">
        <v>0.98</v>
      </c>
      <c r="AC72">
        <v>0.03</v>
      </c>
      <c r="AD72">
        <v>0.05</v>
      </c>
      <c r="AE72" t="s">
        <v>137</v>
      </c>
    </row>
    <row r="73" spans="1:31" x14ac:dyDescent="0.3">
      <c r="A73" t="s">
        <v>77</v>
      </c>
      <c r="B73">
        <v>3</v>
      </c>
      <c r="C73" t="s">
        <v>137</v>
      </c>
      <c r="D73">
        <v>3</v>
      </c>
      <c r="E73">
        <v>2</v>
      </c>
      <c r="F73">
        <v>0.9</v>
      </c>
      <c r="G73">
        <v>0.9</v>
      </c>
      <c r="H73">
        <v>5.0000000000000001E-3</v>
      </c>
      <c r="I73">
        <v>120</v>
      </c>
      <c r="J73">
        <v>28</v>
      </c>
      <c r="K73">
        <v>35.095193000000002</v>
      </c>
      <c r="L73">
        <v>28.904102999999999</v>
      </c>
      <c r="M73">
        <v>1468.18</v>
      </c>
      <c r="N73" t="s">
        <v>137</v>
      </c>
      <c r="O73" t="s">
        <v>137</v>
      </c>
      <c r="P73">
        <v>6.4089999999999998E-3</v>
      </c>
      <c r="Q73">
        <v>13.332763999999999</v>
      </c>
      <c r="R73">
        <v>13.339173000000001</v>
      </c>
      <c r="S73" t="s">
        <v>137</v>
      </c>
      <c r="T73">
        <v>21.756019999999999</v>
      </c>
      <c r="U73">
        <v>0.39163799999999999</v>
      </c>
      <c r="V73">
        <v>1.6800000000000001E-3</v>
      </c>
      <c r="W73">
        <v>1.8627000000000001E-2</v>
      </c>
      <c r="X73" t="s">
        <v>137</v>
      </c>
      <c r="Y73">
        <v>38.01</v>
      </c>
      <c r="Z73" t="s">
        <v>137</v>
      </c>
      <c r="AA73">
        <v>61.99</v>
      </c>
      <c r="AB73">
        <v>1.1200000000000001</v>
      </c>
      <c r="AC73">
        <v>0</v>
      </c>
      <c r="AD73">
        <v>0.05</v>
      </c>
      <c r="AE73" t="s">
        <v>137</v>
      </c>
    </row>
    <row r="74" spans="1:31" x14ac:dyDescent="0.3">
      <c r="A74" t="s">
        <v>78</v>
      </c>
      <c r="B74">
        <v>3</v>
      </c>
      <c r="C74" t="s">
        <v>137</v>
      </c>
      <c r="D74">
        <v>3</v>
      </c>
      <c r="E74">
        <v>2</v>
      </c>
      <c r="F74">
        <v>0.9</v>
      </c>
      <c r="G74">
        <v>0.9</v>
      </c>
      <c r="H74">
        <v>5.0000000000000001E-3</v>
      </c>
      <c r="I74">
        <v>120</v>
      </c>
      <c r="J74">
        <v>98</v>
      </c>
      <c r="K74">
        <v>10.894835</v>
      </c>
      <c r="L74">
        <v>11.571622</v>
      </c>
      <c r="M74">
        <v>245.47</v>
      </c>
      <c r="N74" t="s">
        <v>137</v>
      </c>
      <c r="O74" t="s">
        <v>137</v>
      </c>
      <c r="P74">
        <v>1.2225E-2</v>
      </c>
      <c r="Q74">
        <v>7.1321269999999997</v>
      </c>
      <c r="R74">
        <v>7.1443510000000003</v>
      </c>
      <c r="S74" t="s">
        <v>137</v>
      </c>
      <c r="T74">
        <v>3.750483</v>
      </c>
      <c r="U74">
        <v>0.115341</v>
      </c>
      <c r="V74">
        <v>2.3649999999999999E-3</v>
      </c>
      <c r="W74">
        <v>4.9940000000000002E-3</v>
      </c>
      <c r="X74" t="s">
        <v>137</v>
      </c>
      <c r="Y74">
        <v>65.58</v>
      </c>
      <c r="Z74" t="s">
        <v>137</v>
      </c>
      <c r="AA74">
        <v>34.42</v>
      </c>
      <c r="AB74">
        <v>1.06</v>
      </c>
      <c r="AC74">
        <v>0.02</v>
      </c>
      <c r="AD74">
        <v>0.05</v>
      </c>
      <c r="AE74" t="s">
        <v>137</v>
      </c>
    </row>
    <row r="75" spans="1:31" x14ac:dyDescent="0.3">
      <c r="A75" t="s">
        <v>79</v>
      </c>
      <c r="B75">
        <v>3</v>
      </c>
      <c r="C75" t="s">
        <v>137</v>
      </c>
      <c r="D75">
        <v>3</v>
      </c>
      <c r="E75">
        <v>2</v>
      </c>
      <c r="F75">
        <v>0.9</v>
      </c>
      <c r="G75">
        <v>0.9</v>
      </c>
      <c r="H75">
        <v>5.0000000000000001E-3</v>
      </c>
      <c r="I75">
        <v>120</v>
      </c>
      <c r="J75">
        <v>100</v>
      </c>
      <c r="K75">
        <v>3.142671</v>
      </c>
      <c r="L75">
        <v>9.8562980000000007</v>
      </c>
      <c r="M75">
        <v>120.23</v>
      </c>
      <c r="N75" t="s">
        <v>137</v>
      </c>
      <c r="O75" t="s">
        <v>137</v>
      </c>
      <c r="P75">
        <v>1.0253E-2</v>
      </c>
      <c r="Q75">
        <v>1.8149759999999999</v>
      </c>
      <c r="R75">
        <v>1.825229</v>
      </c>
      <c r="S75" t="s">
        <v>137</v>
      </c>
      <c r="T75">
        <v>1.317442</v>
      </c>
      <c r="U75">
        <v>4.7341000000000001E-2</v>
      </c>
      <c r="V75">
        <v>2.264E-3</v>
      </c>
      <c r="W75">
        <v>1.4710000000000001E-3</v>
      </c>
      <c r="X75" t="s">
        <v>137</v>
      </c>
      <c r="Y75">
        <v>58.08</v>
      </c>
      <c r="Z75" t="s">
        <v>137</v>
      </c>
      <c r="AA75">
        <v>41.92</v>
      </c>
      <c r="AB75">
        <v>1.51</v>
      </c>
      <c r="AC75">
        <v>7.0000000000000007E-2</v>
      </c>
      <c r="AD75">
        <v>0.05</v>
      </c>
      <c r="AE75" t="s">
        <v>137</v>
      </c>
    </row>
    <row r="76" spans="1:31" x14ac:dyDescent="0.3">
      <c r="A76" t="s">
        <v>80</v>
      </c>
      <c r="B76">
        <v>3</v>
      </c>
      <c r="C76" t="s">
        <v>137</v>
      </c>
      <c r="D76">
        <v>3</v>
      </c>
      <c r="E76">
        <v>2</v>
      </c>
      <c r="F76">
        <v>0.9</v>
      </c>
      <c r="G76">
        <v>0.9</v>
      </c>
      <c r="H76">
        <v>5.0000000000000001E-3</v>
      </c>
      <c r="I76">
        <v>120</v>
      </c>
      <c r="J76">
        <v>100</v>
      </c>
      <c r="K76">
        <v>0.83128899999999994</v>
      </c>
      <c r="L76">
        <v>1.818762</v>
      </c>
      <c r="M76">
        <v>65.19</v>
      </c>
      <c r="N76" t="s">
        <v>137</v>
      </c>
      <c r="O76" t="s">
        <v>137</v>
      </c>
      <c r="P76">
        <v>6.4149999999999997E-3</v>
      </c>
      <c r="Q76">
        <v>0.57594699999999999</v>
      </c>
      <c r="R76">
        <v>0.58236100000000002</v>
      </c>
      <c r="S76" t="s">
        <v>137</v>
      </c>
      <c r="T76">
        <v>0.24892800000000001</v>
      </c>
      <c r="U76">
        <v>1.4383999999999999E-2</v>
      </c>
      <c r="V76">
        <v>8.1700000000000002E-4</v>
      </c>
      <c r="W76">
        <v>5.6800000000000004E-4</v>
      </c>
      <c r="X76" t="s">
        <v>137</v>
      </c>
      <c r="Y76">
        <v>70.06</v>
      </c>
      <c r="Z76" t="s">
        <v>137</v>
      </c>
      <c r="AA76">
        <v>29.94</v>
      </c>
      <c r="AB76">
        <v>1.73</v>
      </c>
      <c r="AC76">
        <v>0.1</v>
      </c>
      <c r="AD76">
        <v>7.0000000000000007E-2</v>
      </c>
      <c r="AE76" t="s">
        <v>137</v>
      </c>
    </row>
    <row r="77" spans="1:31" x14ac:dyDescent="0.3">
      <c r="A77" t="s">
        <v>81</v>
      </c>
      <c r="B77">
        <v>3</v>
      </c>
      <c r="C77" t="s">
        <v>137</v>
      </c>
      <c r="D77">
        <v>3</v>
      </c>
      <c r="E77">
        <v>2</v>
      </c>
      <c r="F77">
        <v>0.9</v>
      </c>
      <c r="G77">
        <v>0.9</v>
      </c>
      <c r="H77">
        <v>5.0000000000000001E-3</v>
      </c>
      <c r="I77">
        <v>120</v>
      </c>
      <c r="J77">
        <v>100</v>
      </c>
      <c r="K77">
        <v>1.9468840000000001</v>
      </c>
      <c r="L77">
        <v>2.861685</v>
      </c>
      <c r="M77">
        <v>161.13999999999999</v>
      </c>
      <c r="N77" t="s">
        <v>137</v>
      </c>
      <c r="O77" t="s">
        <v>137</v>
      </c>
      <c r="P77">
        <v>6.4380000000000001E-3</v>
      </c>
      <c r="Q77">
        <v>1.322673</v>
      </c>
      <c r="R77">
        <v>1.3291109999999999</v>
      </c>
      <c r="S77" t="s">
        <v>137</v>
      </c>
      <c r="T77">
        <v>0.61777300000000002</v>
      </c>
      <c r="U77">
        <v>3.5936000000000003E-2</v>
      </c>
      <c r="V77">
        <v>9.1399999999999999E-4</v>
      </c>
      <c r="W77">
        <v>1.2390000000000001E-3</v>
      </c>
      <c r="X77" t="s">
        <v>137</v>
      </c>
      <c r="Y77">
        <v>68.27</v>
      </c>
      <c r="Z77" t="s">
        <v>137</v>
      </c>
      <c r="AA77">
        <v>31.73</v>
      </c>
      <c r="AB77">
        <v>1.85</v>
      </c>
      <c r="AC77">
        <v>0.05</v>
      </c>
      <c r="AD77">
        <v>0.06</v>
      </c>
      <c r="AE77" t="s">
        <v>137</v>
      </c>
    </row>
    <row r="78" spans="1:31" x14ac:dyDescent="0.3">
      <c r="A78" t="s">
        <v>82</v>
      </c>
      <c r="B78">
        <v>3</v>
      </c>
      <c r="C78" t="s">
        <v>137</v>
      </c>
      <c r="D78">
        <v>3</v>
      </c>
      <c r="E78">
        <v>2</v>
      </c>
      <c r="F78">
        <v>0.9</v>
      </c>
      <c r="G78">
        <v>0.9</v>
      </c>
      <c r="H78">
        <v>5.0000000000000001E-3</v>
      </c>
      <c r="I78">
        <v>120</v>
      </c>
      <c r="J78">
        <v>100</v>
      </c>
      <c r="K78">
        <v>0.527729</v>
      </c>
      <c r="L78">
        <v>1.103011</v>
      </c>
      <c r="M78">
        <v>35.15</v>
      </c>
      <c r="N78" t="s">
        <v>137</v>
      </c>
      <c r="O78" t="s">
        <v>137</v>
      </c>
      <c r="P78">
        <v>6.0549999999999996E-3</v>
      </c>
      <c r="Q78">
        <v>0.37404799999999999</v>
      </c>
      <c r="R78">
        <v>0.38010300000000002</v>
      </c>
      <c r="S78" t="s">
        <v>137</v>
      </c>
      <c r="T78">
        <v>0.14762500000000001</v>
      </c>
      <c r="U78">
        <v>7.4440000000000001E-3</v>
      </c>
      <c r="V78">
        <v>1.165E-3</v>
      </c>
      <c r="W78">
        <v>3.0400000000000002E-4</v>
      </c>
      <c r="X78" t="s">
        <v>137</v>
      </c>
      <c r="Y78">
        <v>72.03</v>
      </c>
      <c r="Z78" t="s">
        <v>137</v>
      </c>
      <c r="AA78">
        <v>27.97</v>
      </c>
      <c r="AB78">
        <v>1.41</v>
      </c>
      <c r="AC78">
        <v>0.22</v>
      </c>
      <c r="AD78">
        <v>0.06</v>
      </c>
      <c r="AE78" t="s">
        <v>137</v>
      </c>
    </row>
    <row r="79" spans="1:31" x14ac:dyDescent="0.3">
      <c r="A79" t="s">
        <v>83</v>
      </c>
      <c r="B79">
        <v>3</v>
      </c>
      <c r="C79" t="s">
        <v>137</v>
      </c>
      <c r="D79">
        <v>3</v>
      </c>
      <c r="E79">
        <v>2</v>
      </c>
      <c r="F79">
        <v>0.9</v>
      </c>
      <c r="G79">
        <v>0.9</v>
      </c>
      <c r="H79">
        <v>5.0000000000000001E-3</v>
      </c>
      <c r="I79">
        <v>120</v>
      </c>
      <c r="J79">
        <v>98</v>
      </c>
      <c r="K79">
        <v>6.1099870000000003</v>
      </c>
      <c r="L79">
        <v>13.325388</v>
      </c>
      <c r="M79">
        <v>456.85</v>
      </c>
      <c r="N79" t="s">
        <v>137</v>
      </c>
      <c r="O79" t="s">
        <v>137</v>
      </c>
      <c r="P79">
        <v>6.5160000000000001E-3</v>
      </c>
      <c r="Q79">
        <v>2.6828090000000002</v>
      </c>
      <c r="R79">
        <v>2.6893250000000002</v>
      </c>
      <c r="S79" t="s">
        <v>137</v>
      </c>
      <c r="T79">
        <v>3.4206620000000001</v>
      </c>
      <c r="U79">
        <v>0.102576</v>
      </c>
      <c r="V79">
        <v>1.077E-3</v>
      </c>
      <c r="W79">
        <v>3.4039999999999999E-3</v>
      </c>
      <c r="X79" t="s">
        <v>137</v>
      </c>
      <c r="Y79">
        <v>44.02</v>
      </c>
      <c r="Z79" t="s">
        <v>137</v>
      </c>
      <c r="AA79">
        <v>55.98</v>
      </c>
      <c r="AB79">
        <v>1.68</v>
      </c>
      <c r="AC79">
        <v>0.02</v>
      </c>
      <c r="AD79">
        <v>0.06</v>
      </c>
      <c r="AE79" t="s">
        <v>137</v>
      </c>
    </row>
    <row r="80" spans="1:31" x14ac:dyDescent="0.3">
      <c r="A80" t="s">
        <v>84</v>
      </c>
      <c r="B80">
        <v>3</v>
      </c>
      <c r="C80" t="s">
        <v>137</v>
      </c>
      <c r="D80">
        <v>3</v>
      </c>
      <c r="E80">
        <v>2</v>
      </c>
      <c r="F80">
        <v>0.9</v>
      </c>
      <c r="G80">
        <v>0.9</v>
      </c>
      <c r="H80">
        <v>5.0000000000000001E-3</v>
      </c>
      <c r="I80">
        <v>120</v>
      </c>
      <c r="J80">
        <v>90</v>
      </c>
      <c r="K80">
        <v>17.991420999999999</v>
      </c>
      <c r="L80">
        <v>26.410463</v>
      </c>
      <c r="M80">
        <v>1355.07</v>
      </c>
      <c r="N80" t="s">
        <v>137</v>
      </c>
      <c r="O80" t="s">
        <v>137</v>
      </c>
      <c r="P80">
        <v>5.6889999999999996E-3</v>
      </c>
      <c r="Q80">
        <v>6.196142</v>
      </c>
      <c r="R80">
        <v>6.2018310000000003</v>
      </c>
      <c r="S80" t="s">
        <v>137</v>
      </c>
      <c r="T80">
        <v>11.78959</v>
      </c>
      <c r="U80">
        <v>0.32694099999999998</v>
      </c>
      <c r="V80">
        <v>9.6500000000000004E-4</v>
      </c>
      <c r="W80">
        <v>1.2671E-2</v>
      </c>
      <c r="X80" t="s">
        <v>137</v>
      </c>
      <c r="Y80">
        <v>34.47</v>
      </c>
      <c r="Z80" t="s">
        <v>137</v>
      </c>
      <c r="AA80">
        <v>65.53</v>
      </c>
      <c r="AB80">
        <v>1.82</v>
      </c>
      <c r="AC80">
        <v>0.01</v>
      </c>
      <c r="AD80">
        <v>7.0000000000000007E-2</v>
      </c>
      <c r="AE80" t="s">
        <v>137</v>
      </c>
    </row>
    <row r="81" spans="1:31" x14ac:dyDescent="0.3">
      <c r="A81" t="s">
        <v>85</v>
      </c>
      <c r="B81">
        <v>3</v>
      </c>
      <c r="C81" t="s">
        <v>137</v>
      </c>
      <c r="D81">
        <v>3</v>
      </c>
      <c r="E81">
        <v>2</v>
      </c>
      <c r="F81">
        <v>0.9</v>
      </c>
      <c r="G81">
        <v>0.9</v>
      </c>
      <c r="H81">
        <v>5.0000000000000001E-3</v>
      </c>
      <c r="I81">
        <v>120</v>
      </c>
      <c r="J81">
        <v>100</v>
      </c>
      <c r="K81">
        <v>1.1708590000000001</v>
      </c>
      <c r="L81">
        <v>7.6529579999999999</v>
      </c>
      <c r="M81">
        <v>93.4</v>
      </c>
      <c r="N81" t="s">
        <v>137</v>
      </c>
      <c r="O81" t="s">
        <v>137</v>
      </c>
      <c r="P81">
        <v>5.9829999999999996E-3</v>
      </c>
      <c r="Q81">
        <v>0.44693300000000002</v>
      </c>
      <c r="R81">
        <v>0.45291599999999999</v>
      </c>
      <c r="S81" t="s">
        <v>137</v>
      </c>
      <c r="T81">
        <v>0.71794400000000003</v>
      </c>
      <c r="U81">
        <v>2.2523999999999999E-2</v>
      </c>
      <c r="V81">
        <v>7.3700000000000002E-4</v>
      </c>
      <c r="W81">
        <v>1.3110000000000001E-3</v>
      </c>
      <c r="X81" t="s">
        <v>137</v>
      </c>
      <c r="Y81">
        <v>38.68</v>
      </c>
      <c r="Z81" t="s">
        <v>137</v>
      </c>
      <c r="AA81">
        <v>61.32</v>
      </c>
      <c r="AB81">
        <v>1.92</v>
      </c>
      <c r="AC81">
        <v>0.06</v>
      </c>
      <c r="AD81">
        <v>0.11</v>
      </c>
      <c r="AE81" t="s">
        <v>137</v>
      </c>
    </row>
    <row r="82" spans="1:31" x14ac:dyDescent="0.3">
      <c r="A82" t="s">
        <v>86</v>
      </c>
      <c r="B82">
        <v>3</v>
      </c>
      <c r="C82" t="s">
        <v>137</v>
      </c>
      <c r="D82">
        <v>3</v>
      </c>
      <c r="E82">
        <v>2</v>
      </c>
      <c r="F82">
        <v>0.9</v>
      </c>
      <c r="G82">
        <v>0.9</v>
      </c>
      <c r="H82">
        <v>5.0000000000000001E-3</v>
      </c>
      <c r="I82">
        <v>120</v>
      </c>
      <c r="J82">
        <v>89</v>
      </c>
      <c r="K82">
        <v>10.456529</v>
      </c>
      <c r="L82">
        <v>21.730530000000002</v>
      </c>
      <c r="M82">
        <v>823.73</v>
      </c>
      <c r="N82" t="s">
        <v>137</v>
      </c>
      <c r="O82" t="s">
        <v>137</v>
      </c>
      <c r="P82">
        <v>5.8809999999999999E-3</v>
      </c>
      <c r="Q82">
        <v>3.7107679999999998</v>
      </c>
      <c r="R82">
        <v>3.7166489999999999</v>
      </c>
      <c r="S82" t="s">
        <v>137</v>
      </c>
      <c r="T82">
        <v>6.7398809999999996</v>
      </c>
      <c r="U82">
        <v>0.202573</v>
      </c>
      <c r="V82">
        <v>1.101E-3</v>
      </c>
      <c r="W82">
        <v>8.4860000000000005E-3</v>
      </c>
      <c r="X82" t="s">
        <v>137</v>
      </c>
      <c r="Y82">
        <v>35.54</v>
      </c>
      <c r="Z82" t="s">
        <v>137</v>
      </c>
      <c r="AA82">
        <v>64.459999999999994</v>
      </c>
      <c r="AB82">
        <v>1.94</v>
      </c>
      <c r="AC82">
        <v>0.01</v>
      </c>
      <c r="AD82">
        <v>0.08</v>
      </c>
      <c r="AE82" t="s">
        <v>137</v>
      </c>
    </row>
    <row r="83" spans="1:31" x14ac:dyDescent="0.3">
      <c r="A83" t="s">
        <v>87</v>
      </c>
      <c r="B83">
        <v>3</v>
      </c>
      <c r="C83" t="s">
        <v>137</v>
      </c>
      <c r="D83">
        <v>3</v>
      </c>
      <c r="E83">
        <v>2</v>
      </c>
      <c r="F83">
        <v>0.9</v>
      </c>
      <c r="G83">
        <v>0.9</v>
      </c>
      <c r="H83">
        <v>5.0000000000000001E-3</v>
      </c>
      <c r="I83">
        <v>120</v>
      </c>
      <c r="J83">
        <v>100</v>
      </c>
      <c r="K83">
        <v>4.073969</v>
      </c>
      <c r="L83">
        <v>9.8633019999999991</v>
      </c>
      <c r="M83">
        <v>239.76</v>
      </c>
      <c r="N83" t="s">
        <v>137</v>
      </c>
      <c r="O83" t="s">
        <v>137</v>
      </c>
      <c r="P83">
        <v>5.6959999999999997E-3</v>
      </c>
      <c r="Q83">
        <v>2.1226769999999999</v>
      </c>
      <c r="R83">
        <v>2.1283729999999998</v>
      </c>
      <c r="S83" t="s">
        <v>137</v>
      </c>
      <c r="T83">
        <v>1.945595</v>
      </c>
      <c r="U83">
        <v>5.6469999999999999E-2</v>
      </c>
      <c r="V83">
        <v>1.2110000000000001E-3</v>
      </c>
      <c r="W83">
        <v>2.013E-3</v>
      </c>
      <c r="X83" t="s">
        <v>137</v>
      </c>
      <c r="Y83">
        <v>52.24</v>
      </c>
      <c r="Z83" t="s">
        <v>137</v>
      </c>
      <c r="AA83">
        <v>47.76</v>
      </c>
      <c r="AB83">
        <v>1.39</v>
      </c>
      <c r="AC83">
        <v>0.03</v>
      </c>
      <c r="AD83">
        <v>0.05</v>
      </c>
      <c r="AE83" t="s">
        <v>137</v>
      </c>
    </row>
    <row r="84" spans="1:31" x14ac:dyDescent="0.3">
      <c r="A84" t="s">
        <v>88</v>
      </c>
      <c r="B84">
        <v>3</v>
      </c>
      <c r="C84" t="s">
        <v>137</v>
      </c>
      <c r="D84">
        <v>3</v>
      </c>
      <c r="E84">
        <v>2</v>
      </c>
      <c r="F84">
        <v>0.9</v>
      </c>
      <c r="G84">
        <v>0.9</v>
      </c>
      <c r="H84">
        <v>5.0000000000000001E-3</v>
      </c>
      <c r="I84">
        <v>120</v>
      </c>
      <c r="J84">
        <v>99</v>
      </c>
      <c r="K84">
        <v>9.2059960000000007</v>
      </c>
      <c r="L84">
        <v>14.852266</v>
      </c>
      <c r="M84">
        <v>530.16</v>
      </c>
      <c r="N84" t="s">
        <v>137</v>
      </c>
      <c r="O84" t="s">
        <v>137</v>
      </c>
      <c r="P84">
        <v>5.6090000000000003E-3</v>
      </c>
      <c r="Q84">
        <v>4.480715</v>
      </c>
      <c r="R84">
        <v>4.4863239999999998</v>
      </c>
      <c r="S84" t="s">
        <v>137</v>
      </c>
      <c r="T84">
        <v>4.7196720000000001</v>
      </c>
      <c r="U84">
        <v>0.127438</v>
      </c>
      <c r="V84">
        <v>1.2650000000000001E-3</v>
      </c>
      <c r="W84">
        <v>4.8859999999999997E-3</v>
      </c>
      <c r="X84" t="s">
        <v>137</v>
      </c>
      <c r="Y84">
        <v>48.73</v>
      </c>
      <c r="Z84" t="s">
        <v>137</v>
      </c>
      <c r="AA84">
        <v>51.27</v>
      </c>
      <c r="AB84">
        <v>1.38</v>
      </c>
      <c r="AC84">
        <v>0.01</v>
      </c>
      <c r="AD84">
        <v>0.05</v>
      </c>
      <c r="AE84" t="s">
        <v>137</v>
      </c>
    </row>
    <row r="85" spans="1:31" x14ac:dyDescent="0.3">
      <c r="A85" t="s">
        <v>89</v>
      </c>
      <c r="B85">
        <v>3</v>
      </c>
      <c r="C85" t="s">
        <v>137</v>
      </c>
      <c r="D85">
        <v>3</v>
      </c>
      <c r="E85">
        <v>2</v>
      </c>
      <c r="F85">
        <v>0.9</v>
      </c>
      <c r="G85">
        <v>0.9</v>
      </c>
      <c r="H85">
        <v>5.0000000000000001E-3</v>
      </c>
      <c r="I85">
        <v>120</v>
      </c>
      <c r="J85">
        <v>100</v>
      </c>
      <c r="K85">
        <v>1.2841579999999999</v>
      </c>
      <c r="L85">
        <v>3.413878</v>
      </c>
      <c r="M85">
        <v>89.86</v>
      </c>
      <c r="N85" t="s">
        <v>137</v>
      </c>
      <c r="O85" t="s">
        <v>137</v>
      </c>
      <c r="P85">
        <v>5.7479999999999996E-3</v>
      </c>
      <c r="Q85">
        <v>0.82843299999999997</v>
      </c>
      <c r="R85">
        <v>0.83418099999999995</v>
      </c>
      <c r="S85" t="s">
        <v>137</v>
      </c>
      <c r="T85">
        <v>0.44997700000000002</v>
      </c>
      <c r="U85">
        <v>1.9703999999999999E-2</v>
      </c>
      <c r="V85">
        <v>1.204E-3</v>
      </c>
      <c r="W85">
        <v>6.1200000000000002E-4</v>
      </c>
      <c r="X85" t="s">
        <v>137</v>
      </c>
      <c r="Y85">
        <v>64.959999999999994</v>
      </c>
      <c r="Z85" t="s">
        <v>137</v>
      </c>
      <c r="AA85">
        <v>35.04</v>
      </c>
      <c r="AB85">
        <v>1.53</v>
      </c>
      <c r="AC85">
        <v>0.09</v>
      </c>
      <c r="AD85">
        <v>0.05</v>
      </c>
      <c r="AE85" t="s">
        <v>137</v>
      </c>
    </row>
    <row r="86" spans="1:31" x14ac:dyDescent="0.3">
      <c r="A86" t="s">
        <v>90</v>
      </c>
      <c r="B86">
        <v>3</v>
      </c>
      <c r="C86" t="s">
        <v>137</v>
      </c>
      <c r="D86">
        <v>3</v>
      </c>
      <c r="E86">
        <v>2</v>
      </c>
      <c r="F86">
        <v>0.9</v>
      </c>
      <c r="G86">
        <v>0.9</v>
      </c>
      <c r="H86">
        <v>5.0000000000000001E-3</v>
      </c>
      <c r="I86">
        <v>120</v>
      </c>
      <c r="J86">
        <v>93</v>
      </c>
      <c r="K86">
        <v>5.1482080000000003</v>
      </c>
      <c r="L86">
        <v>8.5476609999999997</v>
      </c>
      <c r="M86">
        <v>303.41000000000003</v>
      </c>
      <c r="N86" t="s">
        <v>137</v>
      </c>
      <c r="O86" t="s">
        <v>137</v>
      </c>
      <c r="P86">
        <v>5.4689999999999999E-3</v>
      </c>
      <c r="Q86">
        <v>3.0522999999999998</v>
      </c>
      <c r="R86">
        <v>3.057769</v>
      </c>
      <c r="S86" t="s">
        <v>137</v>
      </c>
      <c r="T86">
        <v>2.0904389999999999</v>
      </c>
      <c r="U86">
        <v>7.0359000000000005E-2</v>
      </c>
      <c r="V86">
        <v>1.2689999999999999E-3</v>
      </c>
      <c r="W86">
        <v>2.7190000000000001E-3</v>
      </c>
      <c r="X86" t="s">
        <v>137</v>
      </c>
      <c r="Y86">
        <v>59.39</v>
      </c>
      <c r="Z86" t="s">
        <v>137</v>
      </c>
      <c r="AA86">
        <v>40.61</v>
      </c>
      <c r="AB86">
        <v>1.37</v>
      </c>
      <c r="AC86">
        <v>0.02</v>
      </c>
      <c r="AD86">
        <v>0.05</v>
      </c>
      <c r="AE86" t="s">
        <v>137</v>
      </c>
    </row>
    <row r="87" spans="1:31" x14ac:dyDescent="0.3">
      <c r="A87" t="s">
        <v>91</v>
      </c>
      <c r="B87">
        <v>3</v>
      </c>
      <c r="C87" t="s">
        <v>137</v>
      </c>
      <c r="D87">
        <v>3</v>
      </c>
      <c r="E87">
        <v>2</v>
      </c>
      <c r="F87">
        <v>0.9</v>
      </c>
      <c r="G87">
        <v>0.9</v>
      </c>
      <c r="H87">
        <v>5.0000000000000001E-3</v>
      </c>
      <c r="I87">
        <v>120</v>
      </c>
      <c r="J87">
        <v>81</v>
      </c>
      <c r="K87">
        <v>15.20833</v>
      </c>
      <c r="L87">
        <v>24.981542000000001</v>
      </c>
      <c r="M87">
        <v>1002.58</v>
      </c>
      <c r="N87" t="s">
        <v>137</v>
      </c>
      <c r="O87" t="s">
        <v>137</v>
      </c>
      <c r="P87">
        <v>5.5859999999999998E-3</v>
      </c>
      <c r="Q87">
        <v>5.3791929999999999</v>
      </c>
      <c r="R87">
        <v>5.384779</v>
      </c>
      <c r="S87" t="s">
        <v>137</v>
      </c>
      <c r="T87">
        <v>9.8235519999999994</v>
      </c>
      <c r="U87">
        <v>0.23338700000000001</v>
      </c>
      <c r="V87">
        <v>1.111E-3</v>
      </c>
      <c r="W87">
        <v>9.5309999999999995E-3</v>
      </c>
      <c r="X87" t="s">
        <v>137</v>
      </c>
      <c r="Y87">
        <v>35.409999999999997</v>
      </c>
      <c r="Z87" t="s">
        <v>137</v>
      </c>
      <c r="AA87">
        <v>64.59</v>
      </c>
      <c r="AB87">
        <v>1.53</v>
      </c>
      <c r="AC87">
        <v>0.01</v>
      </c>
      <c r="AD87">
        <v>0.06</v>
      </c>
      <c r="AE87" t="s">
        <v>137</v>
      </c>
    </row>
    <row r="88" spans="1:31" x14ac:dyDescent="0.3">
      <c r="A88" t="s">
        <v>92</v>
      </c>
      <c r="B88">
        <v>3</v>
      </c>
      <c r="C88" t="s">
        <v>137</v>
      </c>
      <c r="D88">
        <v>3</v>
      </c>
      <c r="E88">
        <v>2</v>
      </c>
      <c r="F88">
        <v>0.9</v>
      </c>
      <c r="G88">
        <v>0.9</v>
      </c>
      <c r="H88">
        <v>5.0000000000000001E-3</v>
      </c>
      <c r="I88">
        <v>120</v>
      </c>
      <c r="J88">
        <v>92</v>
      </c>
      <c r="K88">
        <v>15.506463</v>
      </c>
      <c r="L88">
        <v>24.725508999999999</v>
      </c>
      <c r="M88">
        <v>1115.6099999999999</v>
      </c>
      <c r="N88" t="s">
        <v>137</v>
      </c>
      <c r="O88" t="s">
        <v>137</v>
      </c>
      <c r="P88">
        <v>5.3249999999999999E-3</v>
      </c>
      <c r="Q88">
        <v>4.9217839999999997</v>
      </c>
      <c r="R88">
        <v>4.9271089999999997</v>
      </c>
      <c r="S88" t="s">
        <v>137</v>
      </c>
      <c r="T88">
        <v>10.579354</v>
      </c>
      <c r="U88">
        <v>0.220056</v>
      </c>
      <c r="V88">
        <v>1.122E-3</v>
      </c>
      <c r="W88">
        <v>7.1029999999999999E-3</v>
      </c>
      <c r="X88" t="s">
        <v>137</v>
      </c>
      <c r="Y88">
        <v>31.77</v>
      </c>
      <c r="Z88" t="s">
        <v>137</v>
      </c>
      <c r="AA88">
        <v>68.23</v>
      </c>
      <c r="AB88">
        <v>1.42</v>
      </c>
      <c r="AC88">
        <v>0.01</v>
      </c>
      <c r="AD88">
        <v>0.05</v>
      </c>
      <c r="AE88" t="s">
        <v>137</v>
      </c>
    </row>
    <row r="89" spans="1:31" x14ac:dyDescent="0.3">
      <c r="A89" t="s">
        <v>93</v>
      </c>
      <c r="B89">
        <v>3</v>
      </c>
      <c r="C89" t="s">
        <v>137</v>
      </c>
      <c r="D89">
        <v>3</v>
      </c>
      <c r="E89">
        <v>2</v>
      </c>
      <c r="F89">
        <v>0.9</v>
      </c>
      <c r="G89">
        <v>0.9</v>
      </c>
      <c r="H89">
        <v>5.0000000000000001E-3</v>
      </c>
      <c r="I89">
        <v>120</v>
      </c>
      <c r="J89">
        <v>100</v>
      </c>
      <c r="K89">
        <v>1.0778669999999999</v>
      </c>
      <c r="L89">
        <v>1.957765</v>
      </c>
      <c r="M89">
        <v>108.47</v>
      </c>
      <c r="N89" t="s">
        <v>137</v>
      </c>
      <c r="O89" t="s">
        <v>137</v>
      </c>
      <c r="P89">
        <v>5.5560000000000002E-3</v>
      </c>
      <c r="Q89">
        <v>0.744259</v>
      </c>
      <c r="R89">
        <v>0.74981500000000001</v>
      </c>
      <c r="S89" t="s">
        <v>137</v>
      </c>
      <c r="T89">
        <v>0.32805299999999998</v>
      </c>
      <c r="U89">
        <v>2.1068E-2</v>
      </c>
      <c r="V89">
        <v>8.0500000000000005E-4</v>
      </c>
      <c r="W89">
        <v>6.9800000000000005E-4</v>
      </c>
      <c r="X89" t="s">
        <v>137</v>
      </c>
      <c r="Y89">
        <v>69.56</v>
      </c>
      <c r="Z89" t="s">
        <v>137</v>
      </c>
      <c r="AA89">
        <v>30.44</v>
      </c>
      <c r="AB89">
        <v>1.95</v>
      </c>
      <c r="AC89">
        <v>7.0000000000000007E-2</v>
      </c>
      <c r="AD89">
        <v>0.06</v>
      </c>
      <c r="AE89" t="s">
        <v>137</v>
      </c>
    </row>
    <row r="90" spans="1:31" x14ac:dyDescent="0.3">
      <c r="A90" t="s">
        <v>94</v>
      </c>
      <c r="B90">
        <v>3</v>
      </c>
      <c r="C90" t="s">
        <v>137</v>
      </c>
      <c r="D90">
        <v>3</v>
      </c>
      <c r="E90">
        <v>2</v>
      </c>
      <c r="F90">
        <v>0.9</v>
      </c>
      <c r="G90">
        <v>0.9</v>
      </c>
      <c r="H90">
        <v>5.0000000000000001E-3</v>
      </c>
      <c r="I90">
        <v>120</v>
      </c>
      <c r="J90">
        <v>96</v>
      </c>
      <c r="K90">
        <v>10.286118</v>
      </c>
      <c r="L90">
        <v>18.614082</v>
      </c>
      <c r="M90">
        <v>878.3</v>
      </c>
      <c r="N90" t="s">
        <v>137</v>
      </c>
      <c r="O90" t="s">
        <v>137</v>
      </c>
      <c r="P90">
        <v>5.4970000000000001E-3</v>
      </c>
      <c r="Q90">
        <v>3.6392730000000002</v>
      </c>
      <c r="R90">
        <v>3.644771</v>
      </c>
      <c r="S90" t="s">
        <v>137</v>
      </c>
      <c r="T90">
        <v>6.6413479999999998</v>
      </c>
      <c r="U90">
        <v>0.17285400000000001</v>
      </c>
      <c r="V90">
        <v>1.188E-3</v>
      </c>
      <c r="W90">
        <v>4.8469999999999997E-3</v>
      </c>
      <c r="X90" t="s">
        <v>137</v>
      </c>
      <c r="Y90">
        <v>35.43</v>
      </c>
      <c r="Z90" t="s">
        <v>137</v>
      </c>
      <c r="AA90">
        <v>64.569999999999993</v>
      </c>
      <c r="AB90">
        <v>1.68</v>
      </c>
      <c r="AC90">
        <v>0.01</v>
      </c>
      <c r="AD90">
        <v>0.05</v>
      </c>
      <c r="AE90" t="s">
        <v>137</v>
      </c>
    </row>
    <row r="91" spans="1:31" x14ac:dyDescent="0.3">
      <c r="A91" t="s">
        <v>95</v>
      </c>
      <c r="B91">
        <v>3</v>
      </c>
      <c r="C91" t="s">
        <v>137</v>
      </c>
      <c r="D91">
        <v>3</v>
      </c>
      <c r="E91">
        <v>2</v>
      </c>
      <c r="F91">
        <v>0.9</v>
      </c>
      <c r="G91">
        <v>0.9</v>
      </c>
      <c r="H91">
        <v>5.0000000000000001E-3</v>
      </c>
      <c r="I91">
        <v>120</v>
      </c>
      <c r="J91">
        <v>100</v>
      </c>
      <c r="K91">
        <v>1.9423299999999999</v>
      </c>
      <c r="L91">
        <v>6.6460840000000001</v>
      </c>
      <c r="M91">
        <v>155.47999999999999</v>
      </c>
      <c r="N91" t="s">
        <v>137</v>
      </c>
      <c r="O91" t="s">
        <v>137</v>
      </c>
      <c r="P91">
        <v>5.2639999999999996E-3</v>
      </c>
      <c r="Q91">
        <v>1.0412539999999999</v>
      </c>
      <c r="R91">
        <v>1.0465180000000001</v>
      </c>
      <c r="S91" t="s">
        <v>137</v>
      </c>
      <c r="T91">
        <v>0.89581200000000005</v>
      </c>
      <c r="U91">
        <v>3.0335999999999998E-2</v>
      </c>
      <c r="V91">
        <v>9.9099999999999991E-4</v>
      </c>
      <c r="W91">
        <v>9.2900000000000003E-4</v>
      </c>
      <c r="X91" t="s">
        <v>137</v>
      </c>
      <c r="Y91">
        <v>53.88</v>
      </c>
      <c r="Z91" t="s">
        <v>137</v>
      </c>
      <c r="AA91">
        <v>46.12</v>
      </c>
      <c r="AB91">
        <v>1.56</v>
      </c>
      <c r="AC91">
        <v>0.05</v>
      </c>
      <c r="AD91">
        <v>0.05</v>
      </c>
      <c r="AE91" t="s">
        <v>137</v>
      </c>
    </row>
    <row r="92" spans="1:31" x14ac:dyDescent="0.3">
      <c r="A92" t="s">
        <v>96</v>
      </c>
      <c r="B92">
        <v>3</v>
      </c>
      <c r="C92" t="s">
        <v>137</v>
      </c>
      <c r="D92">
        <v>3</v>
      </c>
      <c r="E92">
        <v>2</v>
      </c>
      <c r="F92">
        <v>0.9</v>
      </c>
      <c r="G92">
        <v>0.9</v>
      </c>
      <c r="H92">
        <v>5.0000000000000001E-3</v>
      </c>
      <c r="I92">
        <v>120</v>
      </c>
      <c r="J92">
        <v>100</v>
      </c>
      <c r="K92">
        <v>1.243744</v>
      </c>
      <c r="L92">
        <v>2.419333</v>
      </c>
      <c r="M92">
        <v>111.44</v>
      </c>
      <c r="N92" t="s">
        <v>137</v>
      </c>
      <c r="O92" t="s">
        <v>137</v>
      </c>
      <c r="P92">
        <v>5.3680000000000004E-3</v>
      </c>
      <c r="Q92">
        <v>0.848186</v>
      </c>
      <c r="R92">
        <v>0.85355400000000003</v>
      </c>
      <c r="S92" t="s">
        <v>137</v>
      </c>
      <c r="T92">
        <v>0.39018999999999998</v>
      </c>
      <c r="U92">
        <v>2.1836999999999999E-2</v>
      </c>
      <c r="V92">
        <v>6.4000000000000005E-4</v>
      </c>
      <c r="W92">
        <v>6.8099999999999996E-4</v>
      </c>
      <c r="X92" t="s">
        <v>137</v>
      </c>
      <c r="Y92">
        <v>68.63</v>
      </c>
      <c r="Z92" t="s">
        <v>137</v>
      </c>
      <c r="AA92">
        <v>31.37</v>
      </c>
      <c r="AB92">
        <v>1.76</v>
      </c>
      <c r="AC92">
        <v>0.05</v>
      </c>
      <c r="AD92">
        <v>0.05</v>
      </c>
      <c r="AE92" t="s">
        <v>137</v>
      </c>
    </row>
    <row r="93" spans="1:31" x14ac:dyDescent="0.3">
      <c r="A93" t="s">
        <v>97</v>
      </c>
      <c r="B93">
        <v>3</v>
      </c>
      <c r="C93" t="s">
        <v>137</v>
      </c>
      <c r="D93">
        <v>3</v>
      </c>
      <c r="E93">
        <v>2</v>
      </c>
      <c r="F93">
        <v>0.9</v>
      </c>
      <c r="G93">
        <v>0.9</v>
      </c>
      <c r="H93">
        <v>5.0000000000000001E-3</v>
      </c>
      <c r="I93">
        <v>120</v>
      </c>
      <c r="J93">
        <v>100</v>
      </c>
      <c r="K93">
        <v>2.7479260000000001</v>
      </c>
      <c r="L93">
        <v>6.2058289999999996</v>
      </c>
      <c r="M93">
        <v>231.2</v>
      </c>
      <c r="N93" t="s">
        <v>137</v>
      </c>
      <c r="O93" t="s">
        <v>137</v>
      </c>
      <c r="P93">
        <v>5.3299999999999997E-3</v>
      </c>
      <c r="Q93">
        <v>1.551042</v>
      </c>
      <c r="R93">
        <v>1.5563720000000001</v>
      </c>
      <c r="S93" t="s">
        <v>137</v>
      </c>
      <c r="T93">
        <v>1.191554</v>
      </c>
      <c r="U93">
        <v>4.5393999999999997E-2</v>
      </c>
      <c r="V93">
        <v>1.008E-3</v>
      </c>
      <c r="W93">
        <v>1.2650000000000001E-3</v>
      </c>
      <c r="X93" t="s">
        <v>137</v>
      </c>
      <c r="Y93">
        <v>56.64</v>
      </c>
      <c r="Z93" t="s">
        <v>137</v>
      </c>
      <c r="AA93">
        <v>43.36</v>
      </c>
      <c r="AB93">
        <v>1.65</v>
      </c>
      <c r="AC93">
        <v>0.04</v>
      </c>
      <c r="AD93">
        <v>0.05</v>
      </c>
      <c r="AE93" t="s">
        <v>137</v>
      </c>
    </row>
    <row r="94" spans="1:31" x14ac:dyDescent="0.3">
      <c r="A94" t="s">
        <v>98</v>
      </c>
      <c r="B94">
        <v>3</v>
      </c>
      <c r="C94" t="s">
        <v>137</v>
      </c>
      <c r="D94">
        <v>3</v>
      </c>
      <c r="E94">
        <v>2</v>
      </c>
      <c r="F94">
        <v>0.9</v>
      </c>
      <c r="G94">
        <v>0.9</v>
      </c>
      <c r="H94">
        <v>5.0000000000000001E-3</v>
      </c>
      <c r="I94">
        <v>120</v>
      </c>
      <c r="J94">
        <v>97</v>
      </c>
      <c r="K94">
        <v>2.0953219999999999</v>
      </c>
      <c r="L94">
        <v>4.3148679999999997</v>
      </c>
      <c r="M94">
        <v>158.94999999999999</v>
      </c>
      <c r="N94" t="s">
        <v>137</v>
      </c>
      <c r="O94" t="s">
        <v>137</v>
      </c>
      <c r="P94">
        <v>5.1539999999999997E-3</v>
      </c>
      <c r="Q94">
        <v>1.299725</v>
      </c>
      <c r="R94">
        <v>1.304878</v>
      </c>
      <c r="S94" t="s">
        <v>137</v>
      </c>
      <c r="T94">
        <v>0.79044400000000004</v>
      </c>
      <c r="U94">
        <v>3.0998000000000001E-2</v>
      </c>
      <c r="V94">
        <v>9.4300000000000004E-4</v>
      </c>
      <c r="W94">
        <v>8.8199999999999997E-4</v>
      </c>
      <c r="X94" t="s">
        <v>137</v>
      </c>
      <c r="Y94">
        <v>62.28</v>
      </c>
      <c r="Z94" t="s">
        <v>137</v>
      </c>
      <c r="AA94">
        <v>37.72</v>
      </c>
      <c r="AB94">
        <v>1.48</v>
      </c>
      <c r="AC94">
        <v>0.05</v>
      </c>
      <c r="AD94">
        <v>0.04</v>
      </c>
      <c r="AE94" t="s">
        <v>137</v>
      </c>
    </row>
    <row r="95" spans="1:31" x14ac:dyDescent="0.3">
      <c r="A95" t="s">
        <v>99</v>
      </c>
      <c r="B95">
        <v>3</v>
      </c>
      <c r="C95" t="s">
        <v>137</v>
      </c>
      <c r="D95">
        <v>3</v>
      </c>
      <c r="E95">
        <v>2</v>
      </c>
      <c r="F95">
        <v>0.9</v>
      </c>
      <c r="G95">
        <v>0.9</v>
      </c>
      <c r="H95">
        <v>5.0000000000000001E-3</v>
      </c>
      <c r="I95">
        <v>120</v>
      </c>
      <c r="J95">
        <v>100</v>
      </c>
      <c r="K95">
        <v>2.6286719999999999</v>
      </c>
      <c r="L95">
        <v>5.624835</v>
      </c>
      <c r="M95">
        <v>248.78</v>
      </c>
      <c r="N95" t="s">
        <v>137</v>
      </c>
      <c r="O95" t="s">
        <v>137</v>
      </c>
      <c r="P95">
        <v>5.398E-3</v>
      </c>
      <c r="Q95">
        <v>1.426431</v>
      </c>
      <c r="R95">
        <v>1.431829</v>
      </c>
      <c r="S95" t="s">
        <v>137</v>
      </c>
      <c r="T95">
        <v>1.1968430000000001</v>
      </c>
      <c r="U95">
        <v>4.8918999999999997E-2</v>
      </c>
      <c r="V95">
        <v>8.12E-4</v>
      </c>
      <c r="W95">
        <v>1.7290000000000001E-3</v>
      </c>
      <c r="X95" t="s">
        <v>137</v>
      </c>
      <c r="Y95">
        <v>54.47</v>
      </c>
      <c r="Z95" t="s">
        <v>137</v>
      </c>
      <c r="AA95">
        <v>45.53</v>
      </c>
      <c r="AB95">
        <v>1.86</v>
      </c>
      <c r="AC95">
        <v>0.03</v>
      </c>
      <c r="AD95">
        <v>7.0000000000000007E-2</v>
      </c>
      <c r="AE95" t="s">
        <v>137</v>
      </c>
    </row>
    <row r="96" spans="1:31" x14ac:dyDescent="0.3">
      <c r="A96" t="s">
        <v>100</v>
      </c>
      <c r="B96">
        <v>3</v>
      </c>
      <c r="C96" t="s">
        <v>137</v>
      </c>
      <c r="D96">
        <v>3</v>
      </c>
      <c r="E96">
        <v>2</v>
      </c>
      <c r="F96">
        <v>0.9</v>
      </c>
      <c r="G96">
        <v>0.9</v>
      </c>
      <c r="H96">
        <v>5.0000000000000001E-3</v>
      </c>
      <c r="I96">
        <v>120</v>
      </c>
      <c r="J96">
        <v>100</v>
      </c>
      <c r="K96">
        <v>7.7282549999999999</v>
      </c>
      <c r="L96">
        <v>11.301154</v>
      </c>
      <c r="M96">
        <v>592.29999999999995</v>
      </c>
      <c r="N96" t="s">
        <v>137</v>
      </c>
      <c r="O96" t="s">
        <v>137</v>
      </c>
      <c r="P96">
        <v>6.4539999999999997E-3</v>
      </c>
      <c r="Q96">
        <v>3.7957459999999998</v>
      </c>
      <c r="R96">
        <v>3.8022</v>
      </c>
      <c r="S96" t="s">
        <v>137</v>
      </c>
      <c r="T96">
        <v>3.9260549999999999</v>
      </c>
      <c r="U96">
        <v>0.13281200000000001</v>
      </c>
      <c r="V96">
        <v>1.418E-3</v>
      </c>
      <c r="W96">
        <v>5.1320000000000003E-3</v>
      </c>
      <c r="X96" t="s">
        <v>137</v>
      </c>
      <c r="Y96">
        <v>49.2</v>
      </c>
      <c r="Z96" t="s">
        <v>137</v>
      </c>
      <c r="AA96">
        <v>50.8</v>
      </c>
      <c r="AB96">
        <v>1.72</v>
      </c>
      <c r="AC96">
        <v>0.02</v>
      </c>
      <c r="AD96">
        <v>7.0000000000000007E-2</v>
      </c>
      <c r="AE96" t="s">
        <v>137</v>
      </c>
    </row>
    <row r="97" spans="1:31" x14ac:dyDescent="0.3">
      <c r="A97" t="s">
        <v>101</v>
      </c>
      <c r="B97">
        <v>3</v>
      </c>
      <c r="C97" t="s">
        <v>137</v>
      </c>
      <c r="D97">
        <v>3</v>
      </c>
      <c r="E97">
        <v>2</v>
      </c>
      <c r="F97">
        <v>0.9</v>
      </c>
      <c r="G97">
        <v>0.9</v>
      </c>
      <c r="H97">
        <v>5.0000000000000001E-3</v>
      </c>
      <c r="I97">
        <v>120</v>
      </c>
      <c r="J97">
        <v>96</v>
      </c>
      <c r="K97">
        <v>13.112176</v>
      </c>
      <c r="L97">
        <v>23.082811</v>
      </c>
      <c r="M97">
        <v>1003.79</v>
      </c>
      <c r="N97" t="s">
        <v>137</v>
      </c>
      <c r="O97" t="s">
        <v>137</v>
      </c>
      <c r="P97">
        <v>5.2220000000000001E-3</v>
      </c>
      <c r="Q97">
        <v>3.696256</v>
      </c>
      <c r="R97">
        <v>3.7014779999999998</v>
      </c>
      <c r="S97" t="s">
        <v>137</v>
      </c>
      <c r="T97">
        <v>9.4106970000000008</v>
      </c>
      <c r="U97">
        <v>0.197825</v>
      </c>
      <c r="V97">
        <v>9.3999999999999997E-4</v>
      </c>
      <c r="W97">
        <v>6.6709999999999998E-3</v>
      </c>
      <c r="X97" t="s">
        <v>137</v>
      </c>
      <c r="Y97">
        <v>28.23</v>
      </c>
      <c r="Z97" t="s">
        <v>137</v>
      </c>
      <c r="AA97">
        <v>71.77</v>
      </c>
      <c r="AB97">
        <v>1.51</v>
      </c>
      <c r="AC97">
        <v>0.01</v>
      </c>
      <c r="AD97">
        <v>0.05</v>
      </c>
      <c r="AE97" t="s">
        <v>137</v>
      </c>
    </row>
    <row r="98" spans="1:31" x14ac:dyDescent="0.3">
      <c r="A98" t="s">
        <v>102</v>
      </c>
      <c r="B98">
        <v>3</v>
      </c>
      <c r="C98" t="s">
        <v>137</v>
      </c>
      <c r="D98">
        <v>3</v>
      </c>
      <c r="E98">
        <v>2</v>
      </c>
      <c r="F98">
        <v>0.9</v>
      </c>
      <c r="G98">
        <v>0.9</v>
      </c>
      <c r="H98">
        <v>5.0000000000000001E-3</v>
      </c>
      <c r="I98">
        <v>120</v>
      </c>
      <c r="J98">
        <v>100</v>
      </c>
      <c r="K98">
        <v>0.234289</v>
      </c>
      <c r="L98">
        <v>0.39363300000000001</v>
      </c>
      <c r="M98">
        <v>23.67</v>
      </c>
      <c r="N98" t="s">
        <v>137</v>
      </c>
      <c r="O98" t="s">
        <v>137</v>
      </c>
      <c r="P98">
        <v>5.6499999999999996E-3</v>
      </c>
      <c r="Q98">
        <v>0.16630500000000001</v>
      </c>
      <c r="R98">
        <v>0.171955</v>
      </c>
      <c r="S98" t="s">
        <v>137</v>
      </c>
      <c r="T98">
        <v>6.2334000000000001E-2</v>
      </c>
      <c r="U98">
        <v>4.3350000000000003E-3</v>
      </c>
      <c r="V98">
        <v>8.5700000000000001E-4</v>
      </c>
      <c r="W98">
        <v>1.5300000000000001E-4</v>
      </c>
      <c r="X98" t="s">
        <v>137</v>
      </c>
      <c r="Y98">
        <v>73.39</v>
      </c>
      <c r="Z98" t="s">
        <v>137</v>
      </c>
      <c r="AA98">
        <v>26.61</v>
      </c>
      <c r="AB98">
        <v>1.85</v>
      </c>
      <c r="AC98">
        <v>0.37</v>
      </c>
      <c r="AD98">
        <v>7.0000000000000007E-2</v>
      </c>
      <c r="AE98" t="s">
        <v>137</v>
      </c>
    </row>
    <row r="99" spans="1:31" x14ac:dyDescent="0.3">
      <c r="A99" t="s">
        <v>103</v>
      </c>
      <c r="B99">
        <v>3</v>
      </c>
      <c r="C99" t="s">
        <v>137</v>
      </c>
      <c r="D99">
        <v>3</v>
      </c>
      <c r="E99">
        <v>2</v>
      </c>
      <c r="F99">
        <v>0.9</v>
      </c>
      <c r="G99">
        <v>0.9</v>
      </c>
      <c r="H99">
        <v>5.0000000000000001E-3</v>
      </c>
      <c r="I99">
        <v>120</v>
      </c>
      <c r="J99">
        <v>100</v>
      </c>
      <c r="K99">
        <v>8.9236749999999994</v>
      </c>
      <c r="L99">
        <v>17.280155000000001</v>
      </c>
      <c r="M99">
        <v>749.08</v>
      </c>
      <c r="N99" t="s">
        <v>137</v>
      </c>
      <c r="O99" t="s">
        <v>137</v>
      </c>
      <c r="P99">
        <v>5.4270000000000004E-3</v>
      </c>
      <c r="Q99">
        <v>3.518008</v>
      </c>
      <c r="R99">
        <v>3.5234350000000001</v>
      </c>
      <c r="S99" t="s">
        <v>137</v>
      </c>
      <c r="T99">
        <v>5.4002400000000002</v>
      </c>
      <c r="U99">
        <v>0.14760400000000001</v>
      </c>
      <c r="V99">
        <v>1.08E-3</v>
      </c>
      <c r="W99">
        <v>3.7339999999999999E-3</v>
      </c>
      <c r="X99" t="s">
        <v>137</v>
      </c>
      <c r="Y99">
        <v>39.479999999999997</v>
      </c>
      <c r="Z99" t="s">
        <v>137</v>
      </c>
      <c r="AA99">
        <v>60.52</v>
      </c>
      <c r="AB99">
        <v>1.65</v>
      </c>
      <c r="AC99">
        <v>0.01</v>
      </c>
      <c r="AD99">
        <v>0.04</v>
      </c>
      <c r="AE99" t="s">
        <v>137</v>
      </c>
    </row>
    <row r="100" spans="1:31" x14ac:dyDescent="0.3">
      <c r="A100" t="s">
        <v>104</v>
      </c>
      <c r="B100">
        <v>3</v>
      </c>
      <c r="C100" t="s">
        <v>137</v>
      </c>
      <c r="D100">
        <v>3</v>
      </c>
      <c r="E100">
        <v>2</v>
      </c>
      <c r="F100">
        <v>0.9</v>
      </c>
      <c r="G100">
        <v>0.9</v>
      </c>
      <c r="H100">
        <v>5.0000000000000001E-3</v>
      </c>
      <c r="I100">
        <v>120</v>
      </c>
      <c r="J100">
        <v>92</v>
      </c>
      <c r="K100">
        <v>9.9778909999999996</v>
      </c>
      <c r="L100">
        <v>17.194230000000001</v>
      </c>
      <c r="M100">
        <v>691.95</v>
      </c>
      <c r="N100" t="s">
        <v>137</v>
      </c>
      <c r="O100" t="s">
        <v>137</v>
      </c>
      <c r="P100">
        <v>5.2779999999999997E-3</v>
      </c>
      <c r="Q100">
        <v>3.7118229999999999</v>
      </c>
      <c r="R100">
        <v>3.717101</v>
      </c>
      <c r="S100" t="s">
        <v>137</v>
      </c>
      <c r="T100">
        <v>6.2607900000000001</v>
      </c>
      <c r="U100">
        <v>0.13617899999999999</v>
      </c>
      <c r="V100">
        <v>1.083E-3</v>
      </c>
      <c r="W100">
        <v>4.2259999999999997E-3</v>
      </c>
      <c r="X100" t="s">
        <v>137</v>
      </c>
      <c r="Y100">
        <v>37.25</v>
      </c>
      <c r="Z100" t="s">
        <v>137</v>
      </c>
      <c r="AA100">
        <v>62.75</v>
      </c>
      <c r="AB100">
        <v>1.36</v>
      </c>
      <c r="AC100">
        <v>0.01</v>
      </c>
      <c r="AD100">
        <v>0.04</v>
      </c>
      <c r="AE100" t="s">
        <v>137</v>
      </c>
    </row>
    <row r="101" spans="1:31" x14ac:dyDescent="0.3">
      <c r="A101" t="s">
        <v>105</v>
      </c>
      <c r="B101">
        <v>3</v>
      </c>
      <c r="C101" t="s">
        <v>137</v>
      </c>
      <c r="D101">
        <v>3</v>
      </c>
      <c r="E101">
        <v>2</v>
      </c>
      <c r="F101">
        <v>0.9</v>
      </c>
      <c r="G101">
        <v>0.9</v>
      </c>
      <c r="H101">
        <v>5.0000000000000001E-3</v>
      </c>
      <c r="I101">
        <v>120</v>
      </c>
      <c r="J101">
        <v>100</v>
      </c>
      <c r="K101">
        <v>3.1129639999999998</v>
      </c>
      <c r="L101">
        <v>7.6911589999999999</v>
      </c>
      <c r="M101">
        <v>275.08</v>
      </c>
      <c r="N101" t="s">
        <v>137</v>
      </c>
      <c r="O101" t="s">
        <v>137</v>
      </c>
      <c r="P101">
        <v>5.4299999999999999E-3</v>
      </c>
      <c r="Q101">
        <v>1.6488320000000001</v>
      </c>
      <c r="R101">
        <v>1.654263</v>
      </c>
      <c r="S101" t="s">
        <v>137</v>
      </c>
      <c r="T101">
        <v>1.4587019999999999</v>
      </c>
      <c r="U101">
        <v>5.3881999999999999E-2</v>
      </c>
      <c r="V101">
        <v>9.3400000000000004E-4</v>
      </c>
      <c r="W101">
        <v>1.4840000000000001E-3</v>
      </c>
      <c r="X101" t="s">
        <v>137</v>
      </c>
      <c r="Y101">
        <v>53.14</v>
      </c>
      <c r="Z101" t="s">
        <v>137</v>
      </c>
      <c r="AA101">
        <v>46.86</v>
      </c>
      <c r="AB101">
        <v>1.73</v>
      </c>
      <c r="AC101">
        <v>0.03</v>
      </c>
      <c r="AD101">
        <v>0.05</v>
      </c>
      <c r="AE101" t="s">
        <v>137</v>
      </c>
    </row>
  </sheetData>
  <sortState xmlns:xlrd2="http://schemas.microsoft.com/office/spreadsheetml/2017/richdata2" ref="A2:AE101">
    <sortCondition ref="A41:A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0A1C-BCD0-4C0E-91B3-826EECA354E0}">
  <dimension ref="A1:AE101"/>
  <sheetViews>
    <sheetView workbookViewId="0">
      <selection activeCell="I84" sqref="I84"/>
    </sheetView>
  </sheetViews>
  <sheetFormatPr defaultRowHeight="14.4" x14ac:dyDescent="0.3"/>
  <cols>
    <col min="1" max="1" width="15.6640625" customWidth="1"/>
    <col min="2" max="2" width="10.6640625" customWidth="1"/>
    <col min="9" max="9" width="12.77734375" customWidth="1"/>
    <col min="10" max="10" width="17.6640625" customWidth="1"/>
  </cols>
  <sheetData>
    <row r="1" spans="1:31" x14ac:dyDescent="0.3">
      <c r="A1" t="s">
        <v>106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</row>
    <row r="2" spans="1:31" x14ac:dyDescent="0.3">
      <c r="A2" t="s">
        <v>6</v>
      </c>
      <c r="B2">
        <v>3</v>
      </c>
      <c r="C2">
        <v>3</v>
      </c>
      <c r="D2">
        <v>3</v>
      </c>
      <c r="E2">
        <v>2</v>
      </c>
      <c r="F2">
        <v>0.9</v>
      </c>
      <c r="G2">
        <v>0.9</v>
      </c>
      <c r="H2">
        <v>5.0000000000000001E-3</v>
      </c>
      <c r="I2">
        <v>120</v>
      </c>
      <c r="J2">
        <v>100</v>
      </c>
      <c r="K2">
        <v>1.986067</v>
      </c>
      <c r="L2">
        <v>1.1938139999999999</v>
      </c>
      <c r="M2">
        <v>61.94</v>
      </c>
      <c r="N2">
        <v>14</v>
      </c>
      <c r="O2">
        <v>86</v>
      </c>
      <c r="P2">
        <v>4.4149999999999997E-3</v>
      </c>
      <c r="Q2">
        <v>1.518553</v>
      </c>
      <c r="R2">
        <v>1.5229680000000001</v>
      </c>
      <c r="S2" t="s">
        <v>137</v>
      </c>
      <c r="T2">
        <v>0.46103300000000003</v>
      </c>
      <c r="U2">
        <v>1.3769E-2</v>
      </c>
      <c r="V2">
        <v>1.0640000000000001E-3</v>
      </c>
      <c r="W2">
        <v>5.7600000000000001E-4</v>
      </c>
      <c r="X2">
        <v>2.0660000000000001E-3</v>
      </c>
      <c r="Y2">
        <v>76.680000000000007</v>
      </c>
      <c r="Z2" t="s">
        <v>137</v>
      </c>
      <c r="AA2">
        <v>23.21</v>
      </c>
      <c r="AB2">
        <v>0.69</v>
      </c>
      <c r="AC2">
        <v>0.05</v>
      </c>
      <c r="AD2">
        <v>0.03</v>
      </c>
      <c r="AE2">
        <v>0.1</v>
      </c>
    </row>
    <row r="3" spans="1:31" x14ac:dyDescent="0.3">
      <c r="A3" t="s">
        <v>7</v>
      </c>
      <c r="B3">
        <v>3</v>
      </c>
      <c r="C3">
        <v>3</v>
      </c>
      <c r="D3">
        <v>3</v>
      </c>
      <c r="E3">
        <v>2</v>
      </c>
      <c r="F3">
        <v>0.9</v>
      </c>
      <c r="G3">
        <v>0.9</v>
      </c>
      <c r="H3">
        <v>5.0000000000000001E-3</v>
      </c>
      <c r="I3">
        <v>120</v>
      </c>
      <c r="J3">
        <v>100</v>
      </c>
      <c r="K3">
        <v>3.0893760000000001</v>
      </c>
      <c r="L3">
        <v>1.846924</v>
      </c>
      <c r="M3">
        <v>100.69</v>
      </c>
      <c r="N3">
        <v>43</v>
      </c>
      <c r="O3">
        <v>57</v>
      </c>
      <c r="P3">
        <v>4.0940000000000004E-3</v>
      </c>
      <c r="Q3">
        <v>2.2988819999999999</v>
      </c>
      <c r="R3">
        <v>2.3029760000000001</v>
      </c>
      <c r="S3" t="s">
        <v>137</v>
      </c>
      <c r="T3">
        <v>0.78014600000000001</v>
      </c>
      <c r="U3">
        <v>2.1447000000000001E-2</v>
      </c>
      <c r="V3">
        <v>9.0200000000000002E-4</v>
      </c>
      <c r="W3">
        <v>9.4200000000000002E-4</v>
      </c>
      <c r="X3">
        <v>6.2529999999999999E-3</v>
      </c>
      <c r="Y3">
        <v>74.55</v>
      </c>
      <c r="Z3" t="s">
        <v>137</v>
      </c>
      <c r="AA3">
        <v>25.25</v>
      </c>
      <c r="AB3">
        <v>0.69</v>
      </c>
      <c r="AC3">
        <v>0.03</v>
      </c>
      <c r="AD3">
        <v>0.03</v>
      </c>
      <c r="AE3">
        <v>0.2</v>
      </c>
    </row>
    <row r="4" spans="1:31" x14ac:dyDescent="0.3">
      <c r="A4" t="s">
        <v>8</v>
      </c>
      <c r="B4">
        <v>3</v>
      </c>
      <c r="C4">
        <v>3</v>
      </c>
      <c r="D4">
        <v>3</v>
      </c>
      <c r="E4">
        <v>2</v>
      </c>
      <c r="F4">
        <v>0.9</v>
      </c>
      <c r="G4">
        <v>0.9</v>
      </c>
      <c r="H4">
        <v>5.0000000000000001E-3</v>
      </c>
      <c r="I4">
        <v>120</v>
      </c>
      <c r="J4">
        <v>100</v>
      </c>
      <c r="K4">
        <v>3.8590409999999999</v>
      </c>
      <c r="L4">
        <v>1.96488</v>
      </c>
      <c r="M4">
        <v>127.38</v>
      </c>
      <c r="N4">
        <v>64</v>
      </c>
      <c r="O4">
        <v>36</v>
      </c>
      <c r="P4">
        <v>4.1479999999999998E-3</v>
      </c>
      <c r="Q4">
        <v>2.8242910000000001</v>
      </c>
      <c r="R4">
        <v>2.8284379999999998</v>
      </c>
      <c r="S4" t="s">
        <v>137</v>
      </c>
      <c r="T4">
        <v>1.0237339999999999</v>
      </c>
      <c r="U4">
        <v>2.7189999999999999E-2</v>
      </c>
      <c r="V4">
        <v>9.7199999999999999E-4</v>
      </c>
      <c r="W4">
        <v>1.2099999999999999E-3</v>
      </c>
      <c r="X4">
        <v>6.8690000000000001E-3</v>
      </c>
      <c r="Y4">
        <v>73.290000000000006</v>
      </c>
      <c r="Z4" t="s">
        <v>137</v>
      </c>
      <c r="AA4">
        <v>26.53</v>
      </c>
      <c r="AB4">
        <v>0.7</v>
      </c>
      <c r="AC4">
        <v>0.03</v>
      </c>
      <c r="AD4">
        <v>0.03</v>
      </c>
      <c r="AE4">
        <v>0.18</v>
      </c>
    </row>
    <row r="5" spans="1:31" x14ac:dyDescent="0.3">
      <c r="A5" t="s">
        <v>9</v>
      </c>
      <c r="B5">
        <v>3</v>
      </c>
      <c r="C5">
        <v>3</v>
      </c>
      <c r="D5">
        <v>3</v>
      </c>
      <c r="E5">
        <v>2</v>
      </c>
      <c r="F5">
        <v>0.9</v>
      </c>
      <c r="G5">
        <v>0.9</v>
      </c>
      <c r="H5">
        <v>5.0000000000000001E-3</v>
      </c>
      <c r="I5">
        <v>120</v>
      </c>
      <c r="J5">
        <v>100</v>
      </c>
      <c r="K5">
        <v>3.0949360000000001</v>
      </c>
      <c r="L5">
        <v>1.995576</v>
      </c>
      <c r="M5">
        <v>100.52</v>
      </c>
      <c r="N5">
        <v>35</v>
      </c>
      <c r="O5">
        <v>65</v>
      </c>
      <c r="P5">
        <v>4.084E-3</v>
      </c>
      <c r="Q5">
        <v>2.3081330000000002</v>
      </c>
      <c r="R5">
        <v>2.312217</v>
      </c>
      <c r="S5" t="s">
        <v>137</v>
      </c>
      <c r="T5">
        <v>0.77557900000000002</v>
      </c>
      <c r="U5">
        <v>2.1295999999999999E-2</v>
      </c>
      <c r="V5">
        <v>9.8400000000000007E-4</v>
      </c>
      <c r="W5">
        <v>9.4799999999999995E-4</v>
      </c>
      <c r="X5">
        <v>7.1399999999999996E-3</v>
      </c>
      <c r="Y5">
        <v>74.709999999999994</v>
      </c>
      <c r="Z5" t="s">
        <v>137</v>
      </c>
      <c r="AA5">
        <v>25.06</v>
      </c>
      <c r="AB5">
        <v>0.69</v>
      </c>
      <c r="AC5">
        <v>0.03</v>
      </c>
      <c r="AD5">
        <v>0.03</v>
      </c>
      <c r="AE5">
        <v>0.23</v>
      </c>
    </row>
    <row r="6" spans="1:31" x14ac:dyDescent="0.3">
      <c r="A6" t="s">
        <v>10</v>
      </c>
      <c r="B6">
        <v>3</v>
      </c>
      <c r="C6">
        <v>3</v>
      </c>
      <c r="D6">
        <v>3</v>
      </c>
      <c r="E6">
        <v>2</v>
      </c>
      <c r="F6">
        <v>0.9</v>
      </c>
      <c r="G6">
        <v>0.9</v>
      </c>
      <c r="H6">
        <v>5.0000000000000001E-3</v>
      </c>
      <c r="I6">
        <v>120</v>
      </c>
      <c r="J6">
        <v>100</v>
      </c>
      <c r="K6">
        <v>4.3534649999999999</v>
      </c>
      <c r="L6">
        <v>2.772335</v>
      </c>
      <c r="M6">
        <v>147.68</v>
      </c>
      <c r="N6">
        <v>63</v>
      </c>
      <c r="O6">
        <v>37</v>
      </c>
      <c r="P6">
        <v>4.1190000000000003E-3</v>
      </c>
      <c r="Q6">
        <v>3.1216059999999999</v>
      </c>
      <c r="R6">
        <v>3.1257250000000001</v>
      </c>
      <c r="S6" t="s">
        <v>137</v>
      </c>
      <c r="T6">
        <v>1.215425</v>
      </c>
      <c r="U6">
        <v>3.1498999999999999E-2</v>
      </c>
      <c r="V6">
        <v>9.7900000000000005E-4</v>
      </c>
      <c r="W6">
        <v>1.4009999999999999E-3</v>
      </c>
      <c r="X6">
        <v>1.2316000000000001E-2</v>
      </c>
      <c r="Y6">
        <v>71.8</v>
      </c>
      <c r="Z6" t="s">
        <v>137</v>
      </c>
      <c r="AA6">
        <v>27.92</v>
      </c>
      <c r="AB6">
        <v>0.72</v>
      </c>
      <c r="AC6">
        <v>0.02</v>
      </c>
      <c r="AD6">
        <v>0.03</v>
      </c>
      <c r="AE6">
        <v>0.28000000000000003</v>
      </c>
    </row>
    <row r="7" spans="1:31" x14ac:dyDescent="0.3">
      <c r="A7" t="s">
        <v>11</v>
      </c>
      <c r="B7">
        <v>3</v>
      </c>
      <c r="C7">
        <v>3</v>
      </c>
      <c r="D7">
        <v>3</v>
      </c>
      <c r="E7">
        <v>2</v>
      </c>
      <c r="F7">
        <v>0.9</v>
      </c>
      <c r="G7">
        <v>0.9</v>
      </c>
      <c r="H7">
        <v>5.0000000000000001E-3</v>
      </c>
      <c r="I7">
        <v>120</v>
      </c>
      <c r="J7">
        <v>100</v>
      </c>
      <c r="K7">
        <v>3.109953</v>
      </c>
      <c r="L7">
        <v>1.985949</v>
      </c>
      <c r="M7">
        <v>103.11</v>
      </c>
      <c r="N7">
        <v>47</v>
      </c>
      <c r="O7">
        <v>53</v>
      </c>
      <c r="P7">
        <v>4.1060000000000003E-3</v>
      </c>
      <c r="Q7">
        <v>2.3039990000000001</v>
      </c>
      <c r="R7">
        <v>2.3081049999999999</v>
      </c>
      <c r="S7" t="s">
        <v>137</v>
      </c>
      <c r="T7">
        <v>0.79552500000000004</v>
      </c>
      <c r="U7">
        <v>2.1798999999999999E-2</v>
      </c>
      <c r="V7">
        <v>9.4600000000000001E-4</v>
      </c>
      <c r="W7">
        <v>9.77E-4</v>
      </c>
      <c r="X7">
        <v>6.3229999999999996E-3</v>
      </c>
      <c r="Y7">
        <v>74.22</v>
      </c>
      <c r="Z7" t="s">
        <v>137</v>
      </c>
      <c r="AA7">
        <v>25.58</v>
      </c>
      <c r="AB7">
        <v>0.7</v>
      </c>
      <c r="AC7">
        <v>0.03</v>
      </c>
      <c r="AD7">
        <v>0.03</v>
      </c>
      <c r="AE7">
        <v>0.2</v>
      </c>
    </row>
    <row r="8" spans="1:31" x14ac:dyDescent="0.3">
      <c r="A8" t="s">
        <v>12</v>
      </c>
      <c r="B8">
        <v>3</v>
      </c>
      <c r="C8">
        <v>3</v>
      </c>
      <c r="D8">
        <v>3</v>
      </c>
      <c r="E8">
        <v>2</v>
      </c>
      <c r="F8">
        <v>0.9</v>
      </c>
      <c r="G8">
        <v>0.9</v>
      </c>
      <c r="H8">
        <v>5.0000000000000001E-3</v>
      </c>
      <c r="I8">
        <v>120</v>
      </c>
      <c r="J8">
        <v>100</v>
      </c>
      <c r="K8">
        <v>2.0619770000000002</v>
      </c>
      <c r="L8">
        <v>1.120139</v>
      </c>
      <c r="M8">
        <v>68.599999999999994</v>
      </c>
      <c r="N8">
        <v>22</v>
      </c>
      <c r="O8">
        <v>78</v>
      </c>
      <c r="P8">
        <v>4.104E-3</v>
      </c>
      <c r="Q8">
        <v>1.5786249999999999</v>
      </c>
      <c r="R8">
        <v>1.5827279999999999</v>
      </c>
      <c r="S8" t="s">
        <v>137</v>
      </c>
      <c r="T8">
        <v>0.47712599999999999</v>
      </c>
      <c r="U8">
        <v>1.4338999999999999E-2</v>
      </c>
      <c r="V8">
        <v>9.3499999999999996E-4</v>
      </c>
      <c r="W8">
        <v>5.9800000000000001E-4</v>
      </c>
      <c r="X8">
        <v>2.124E-3</v>
      </c>
      <c r="Y8">
        <v>76.760000000000005</v>
      </c>
      <c r="Z8" t="s">
        <v>137</v>
      </c>
      <c r="AA8">
        <v>23.14</v>
      </c>
      <c r="AB8">
        <v>0.7</v>
      </c>
      <c r="AC8">
        <v>0.05</v>
      </c>
      <c r="AD8">
        <v>0.03</v>
      </c>
      <c r="AE8">
        <v>0.1</v>
      </c>
    </row>
    <row r="9" spans="1:31" x14ac:dyDescent="0.3">
      <c r="A9" t="s">
        <v>13</v>
      </c>
      <c r="B9">
        <v>3</v>
      </c>
      <c r="C9">
        <v>3</v>
      </c>
      <c r="D9">
        <v>3</v>
      </c>
      <c r="E9">
        <v>2</v>
      </c>
      <c r="F9">
        <v>0.9</v>
      </c>
      <c r="G9">
        <v>0.9</v>
      </c>
      <c r="H9">
        <v>5.0000000000000001E-3</v>
      </c>
      <c r="I9">
        <v>120</v>
      </c>
      <c r="J9">
        <v>100</v>
      </c>
      <c r="K9">
        <v>2.1466660000000002</v>
      </c>
      <c r="L9">
        <v>1.2047859999999999</v>
      </c>
      <c r="M9">
        <v>74.13</v>
      </c>
      <c r="N9">
        <v>28</v>
      </c>
      <c r="O9">
        <v>72</v>
      </c>
      <c r="P9">
        <v>4.2160000000000001E-3</v>
      </c>
      <c r="Q9">
        <v>1.637945</v>
      </c>
      <c r="R9">
        <v>1.642161</v>
      </c>
      <c r="S9" t="s">
        <v>137</v>
      </c>
      <c r="T9">
        <v>0.50218399999999996</v>
      </c>
      <c r="U9">
        <v>1.5535999999999999E-2</v>
      </c>
      <c r="V9">
        <v>9.3300000000000002E-4</v>
      </c>
      <c r="W9">
        <v>6.8000000000000005E-4</v>
      </c>
      <c r="X9">
        <v>2.3210000000000001E-3</v>
      </c>
      <c r="Y9">
        <v>76.5</v>
      </c>
      <c r="Z9" t="s">
        <v>137</v>
      </c>
      <c r="AA9">
        <v>23.39</v>
      </c>
      <c r="AB9">
        <v>0.72</v>
      </c>
      <c r="AC9">
        <v>0.04</v>
      </c>
      <c r="AD9">
        <v>0.03</v>
      </c>
      <c r="AE9">
        <v>0.11</v>
      </c>
    </row>
    <row r="10" spans="1:31" x14ac:dyDescent="0.3">
      <c r="A10" t="s">
        <v>14</v>
      </c>
      <c r="B10">
        <v>3</v>
      </c>
      <c r="C10">
        <v>3</v>
      </c>
      <c r="D10">
        <v>3</v>
      </c>
      <c r="E10">
        <v>2</v>
      </c>
      <c r="F10">
        <v>0.9</v>
      </c>
      <c r="G10">
        <v>0.9</v>
      </c>
      <c r="H10">
        <v>5.0000000000000001E-3</v>
      </c>
      <c r="I10">
        <v>120</v>
      </c>
      <c r="J10">
        <v>100</v>
      </c>
      <c r="K10">
        <v>3.478186</v>
      </c>
      <c r="L10">
        <v>2.3733499999999998</v>
      </c>
      <c r="M10">
        <v>114.89</v>
      </c>
      <c r="N10">
        <v>45</v>
      </c>
      <c r="O10">
        <v>55</v>
      </c>
      <c r="P10">
        <v>4.267E-3</v>
      </c>
      <c r="Q10">
        <v>2.5460980000000002</v>
      </c>
      <c r="R10">
        <v>2.5503659999999999</v>
      </c>
      <c r="S10" t="s">
        <v>137</v>
      </c>
      <c r="T10">
        <v>0.92000400000000004</v>
      </c>
      <c r="U10">
        <v>2.5078E-2</v>
      </c>
      <c r="V10">
        <v>1.0089999999999999E-3</v>
      </c>
      <c r="W10">
        <v>1.0809999999999999E-3</v>
      </c>
      <c r="X10">
        <v>7.8169999999999993E-3</v>
      </c>
      <c r="Y10">
        <v>73.319999999999993</v>
      </c>
      <c r="Z10" t="s">
        <v>137</v>
      </c>
      <c r="AA10">
        <v>26.45</v>
      </c>
      <c r="AB10">
        <v>0.72</v>
      </c>
      <c r="AC10">
        <v>0.03</v>
      </c>
      <c r="AD10">
        <v>0.03</v>
      </c>
      <c r="AE10">
        <v>0.22</v>
      </c>
    </row>
    <row r="11" spans="1:31" x14ac:dyDescent="0.3">
      <c r="A11" t="s">
        <v>15</v>
      </c>
      <c r="B11">
        <v>3</v>
      </c>
      <c r="C11">
        <v>3</v>
      </c>
      <c r="D11">
        <v>3</v>
      </c>
      <c r="E11">
        <v>2</v>
      </c>
      <c r="F11">
        <v>0.9</v>
      </c>
      <c r="G11">
        <v>0.9</v>
      </c>
      <c r="H11">
        <v>5.0000000000000001E-3</v>
      </c>
      <c r="I11">
        <v>120</v>
      </c>
      <c r="J11">
        <v>100</v>
      </c>
      <c r="K11">
        <v>2.5135990000000001</v>
      </c>
      <c r="L11">
        <v>1.657896</v>
      </c>
      <c r="M11">
        <v>85.77</v>
      </c>
      <c r="N11">
        <v>33</v>
      </c>
      <c r="O11">
        <v>67</v>
      </c>
      <c r="P11">
        <v>4.1980000000000003E-3</v>
      </c>
      <c r="Q11">
        <v>1.8963749999999999</v>
      </c>
      <c r="R11">
        <v>1.9005730000000001</v>
      </c>
      <c r="S11" t="s">
        <v>137</v>
      </c>
      <c r="T11">
        <v>0.60858000000000001</v>
      </c>
      <c r="U11">
        <v>1.8037000000000001E-2</v>
      </c>
      <c r="V11">
        <v>9.6199999999999996E-4</v>
      </c>
      <c r="W11">
        <v>7.6900000000000004E-4</v>
      </c>
      <c r="X11">
        <v>4.4450000000000002E-3</v>
      </c>
      <c r="Y11">
        <v>75.61</v>
      </c>
      <c r="Z11" t="s">
        <v>137</v>
      </c>
      <c r="AA11">
        <v>24.21</v>
      </c>
      <c r="AB11">
        <v>0.72</v>
      </c>
      <c r="AC11">
        <v>0.04</v>
      </c>
      <c r="AD11">
        <v>0.03</v>
      </c>
      <c r="AE11">
        <v>0.18</v>
      </c>
    </row>
    <row r="12" spans="1:31" x14ac:dyDescent="0.3">
      <c r="A12" t="s">
        <v>16</v>
      </c>
      <c r="B12">
        <v>3</v>
      </c>
      <c r="C12">
        <v>3</v>
      </c>
      <c r="D12">
        <v>3</v>
      </c>
      <c r="E12">
        <v>2</v>
      </c>
      <c r="F12">
        <v>0.9</v>
      </c>
      <c r="G12">
        <v>0.9</v>
      </c>
      <c r="H12">
        <v>5.0000000000000001E-3</v>
      </c>
      <c r="I12">
        <v>120</v>
      </c>
      <c r="J12">
        <v>99</v>
      </c>
      <c r="K12">
        <v>14.519876999999999</v>
      </c>
      <c r="L12">
        <v>16.104476999999999</v>
      </c>
      <c r="M12">
        <v>675</v>
      </c>
      <c r="N12">
        <v>94</v>
      </c>
      <c r="O12">
        <v>5</v>
      </c>
      <c r="P12">
        <v>4.6680000000000003E-3</v>
      </c>
      <c r="Q12">
        <v>6.8951830000000003</v>
      </c>
      <c r="R12">
        <v>6.8998499999999998</v>
      </c>
      <c r="S12" t="s">
        <v>137</v>
      </c>
      <c r="T12">
        <v>7.4854430000000001</v>
      </c>
      <c r="U12">
        <v>0.14604400000000001</v>
      </c>
      <c r="V12">
        <v>1.147E-3</v>
      </c>
      <c r="W12">
        <v>5.6309999999999997E-3</v>
      </c>
      <c r="X12">
        <v>0.13458400000000001</v>
      </c>
      <c r="Y12">
        <v>47.52</v>
      </c>
      <c r="Z12" t="s">
        <v>137</v>
      </c>
      <c r="AA12">
        <v>51.55</v>
      </c>
      <c r="AB12">
        <v>1.01</v>
      </c>
      <c r="AC12">
        <v>0.01</v>
      </c>
      <c r="AD12">
        <v>0.04</v>
      </c>
      <c r="AE12">
        <v>0.93</v>
      </c>
    </row>
    <row r="13" spans="1:31" x14ac:dyDescent="0.3">
      <c r="A13" t="s">
        <v>17</v>
      </c>
      <c r="B13">
        <v>3</v>
      </c>
      <c r="C13">
        <v>3</v>
      </c>
      <c r="D13">
        <v>3</v>
      </c>
      <c r="E13">
        <v>2</v>
      </c>
      <c r="F13">
        <v>0.9</v>
      </c>
      <c r="G13">
        <v>0.9</v>
      </c>
      <c r="H13">
        <v>5.0000000000000001E-3</v>
      </c>
      <c r="I13">
        <v>120</v>
      </c>
      <c r="J13">
        <v>100</v>
      </c>
      <c r="K13">
        <v>2.800627</v>
      </c>
      <c r="L13">
        <v>2.762057</v>
      </c>
      <c r="M13">
        <v>136.41</v>
      </c>
      <c r="N13">
        <v>50</v>
      </c>
      <c r="O13">
        <v>50</v>
      </c>
      <c r="P13">
        <v>4.6499999999999996E-3</v>
      </c>
      <c r="Q13">
        <v>1.9906250000000001</v>
      </c>
      <c r="R13">
        <v>1.9952749999999999</v>
      </c>
      <c r="S13" t="s">
        <v>137</v>
      </c>
      <c r="T13">
        <v>0.78560200000000002</v>
      </c>
      <c r="U13">
        <v>2.8916000000000001E-2</v>
      </c>
      <c r="V13">
        <v>1.0629999999999999E-3</v>
      </c>
      <c r="W13">
        <v>1.1479999999999999E-3</v>
      </c>
      <c r="X13">
        <v>1.9751000000000001E-2</v>
      </c>
      <c r="Y13">
        <v>71.239999999999995</v>
      </c>
      <c r="Z13" t="s">
        <v>137</v>
      </c>
      <c r="AA13">
        <v>28.05</v>
      </c>
      <c r="AB13">
        <v>1.03</v>
      </c>
      <c r="AC13">
        <v>0.04</v>
      </c>
      <c r="AD13">
        <v>0.04</v>
      </c>
      <c r="AE13">
        <v>0.71</v>
      </c>
    </row>
    <row r="14" spans="1:31" x14ac:dyDescent="0.3">
      <c r="A14" t="s">
        <v>18</v>
      </c>
      <c r="B14">
        <v>3</v>
      </c>
      <c r="C14">
        <v>3</v>
      </c>
      <c r="D14">
        <v>3</v>
      </c>
      <c r="E14">
        <v>2</v>
      </c>
      <c r="F14">
        <v>0.9</v>
      </c>
      <c r="G14">
        <v>0.9</v>
      </c>
      <c r="H14">
        <v>5.0000000000000001E-3</v>
      </c>
      <c r="I14">
        <v>120</v>
      </c>
      <c r="J14">
        <v>100</v>
      </c>
      <c r="K14">
        <v>0.96301199999999998</v>
      </c>
      <c r="L14">
        <v>0.63181500000000002</v>
      </c>
      <c r="M14">
        <v>45.69</v>
      </c>
      <c r="N14">
        <v>4</v>
      </c>
      <c r="O14">
        <v>96</v>
      </c>
      <c r="P14">
        <v>4.633E-3</v>
      </c>
      <c r="Q14">
        <v>0.72439100000000001</v>
      </c>
      <c r="R14">
        <v>0.72902400000000001</v>
      </c>
      <c r="S14" t="s">
        <v>137</v>
      </c>
      <c r="T14">
        <v>0.23242599999999999</v>
      </c>
      <c r="U14">
        <v>9.3279999999999995E-3</v>
      </c>
      <c r="V14">
        <v>9.6199999999999996E-4</v>
      </c>
      <c r="W14">
        <v>3.4400000000000001E-4</v>
      </c>
      <c r="X14">
        <v>1.5610000000000001E-3</v>
      </c>
      <c r="Y14">
        <v>75.7</v>
      </c>
      <c r="Z14" t="s">
        <v>137</v>
      </c>
      <c r="AA14">
        <v>24.14</v>
      </c>
      <c r="AB14">
        <v>0.97</v>
      </c>
      <c r="AC14">
        <v>0.1</v>
      </c>
      <c r="AD14">
        <v>0.04</v>
      </c>
      <c r="AE14">
        <v>0.16</v>
      </c>
    </row>
    <row r="15" spans="1:31" x14ac:dyDescent="0.3">
      <c r="A15" t="s">
        <v>19</v>
      </c>
      <c r="B15">
        <v>3</v>
      </c>
      <c r="C15">
        <v>3</v>
      </c>
      <c r="D15">
        <v>3</v>
      </c>
      <c r="E15">
        <v>2</v>
      </c>
      <c r="F15">
        <v>0.9</v>
      </c>
      <c r="G15">
        <v>0.9</v>
      </c>
      <c r="H15">
        <v>5.0000000000000001E-3</v>
      </c>
      <c r="I15">
        <v>120</v>
      </c>
      <c r="J15">
        <v>100</v>
      </c>
      <c r="K15">
        <v>5.2695959999999999</v>
      </c>
      <c r="L15">
        <v>4.4408159999999999</v>
      </c>
      <c r="M15">
        <v>247.26</v>
      </c>
      <c r="N15">
        <v>79</v>
      </c>
      <c r="O15">
        <v>21</v>
      </c>
      <c r="P15">
        <v>4.7759999999999999E-3</v>
      </c>
      <c r="Q15">
        <v>3.5169320000000002</v>
      </c>
      <c r="R15">
        <v>3.5217079999999998</v>
      </c>
      <c r="S15" t="s">
        <v>137</v>
      </c>
      <c r="T15">
        <v>1.7082109999999999</v>
      </c>
      <c r="U15">
        <v>5.3020999999999999E-2</v>
      </c>
      <c r="V15">
        <v>1.0610000000000001E-3</v>
      </c>
      <c r="W15">
        <v>1.9780000000000002E-3</v>
      </c>
      <c r="X15">
        <v>3.9676000000000003E-2</v>
      </c>
      <c r="Y15">
        <v>66.83</v>
      </c>
      <c r="Z15" t="s">
        <v>137</v>
      </c>
      <c r="AA15">
        <v>32.42</v>
      </c>
      <c r="AB15">
        <v>1.01</v>
      </c>
      <c r="AC15">
        <v>0.02</v>
      </c>
      <c r="AD15">
        <v>0.04</v>
      </c>
      <c r="AE15">
        <v>0.75</v>
      </c>
    </row>
    <row r="16" spans="1:31" x14ac:dyDescent="0.3">
      <c r="A16" t="s">
        <v>20</v>
      </c>
      <c r="B16">
        <v>3</v>
      </c>
      <c r="C16">
        <v>3</v>
      </c>
      <c r="D16">
        <v>3</v>
      </c>
      <c r="E16">
        <v>2</v>
      </c>
      <c r="F16">
        <v>0.9</v>
      </c>
      <c r="G16">
        <v>0.9</v>
      </c>
      <c r="H16">
        <v>5.0000000000000001E-3</v>
      </c>
      <c r="I16">
        <v>120</v>
      </c>
      <c r="J16">
        <v>100</v>
      </c>
      <c r="K16">
        <v>2.2357770000000001</v>
      </c>
      <c r="L16">
        <v>1.5811740000000001</v>
      </c>
      <c r="M16">
        <v>103.7</v>
      </c>
      <c r="N16">
        <v>41</v>
      </c>
      <c r="O16">
        <v>59</v>
      </c>
      <c r="P16">
        <v>4.6690000000000004E-3</v>
      </c>
      <c r="Q16">
        <v>1.6584909999999999</v>
      </c>
      <c r="R16">
        <v>1.66316</v>
      </c>
      <c r="S16" t="s">
        <v>137</v>
      </c>
      <c r="T16">
        <v>0.56207700000000005</v>
      </c>
      <c r="U16">
        <v>2.1817E-2</v>
      </c>
      <c r="V16">
        <v>1.023E-3</v>
      </c>
      <c r="W16">
        <v>8.9800000000000004E-4</v>
      </c>
      <c r="X16">
        <v>1.0539E-2</v>
      </c>
      <c r="Y16">
        <v>74.39</v>
      </c>
      <c r="Z16" t="s">
        <v>137</v>
      </c>
      <c r="AA16">
        <v>25.14</v>
      </c>
      <c r="AB16">
        <v>0.98</v>
      </c>
      <c r="AC16">
        <v>0.05</v>
      </c>
      <c r="AD16">
        <v>0.04</v>
      </c>
      <c r="AE16">
        <v>0.47</v>
      </c>
    </row>
    <row r="17" spans="1:31" x14ac:dyDescent="0.3">
      <c r="A17" t="s">
        <v>21</v>
      </c>
      <c r="B17">
        <v>3</v>
      </c>
      <c r="C17">
        <v>3</v>
      </c>
      <c r="D17">
        <v>3</v>
      </c>
      <c r="E17">
        <v>2</v>
      </c>
      <c r="F17">
        <v>0.9</v>
      </c>
      <c r="G17">
        <v>0.9</v>
      </c>
      <c r="H17">
        <v>5.0000000000000001E-3</v>
      </c>
      <c r="I17">
        <v>120</v>
      </c>
      <c r="J17">
        <v>100</v>
      </c>
      <c r="K17">
        <v>2.6374179999999998</v>
      </c>
      <c r="L17">
        <v>1.9759739999999999</v>
      </c>
      <c r="M17">
        <v>118.94</v>
      </c>
      <c r="N17">
        <v>48</v>
      </c>
      <c r="O17">
        <v>52</v>
      </c>
      <c r="P17">
        <v>4.6930000000000001E-3</v>
      </c>
      <c r="Q17">
        <v>1.9376040000000001</v>
      </c>
      <c r="R17">
        <v>1.9422969999999999</v>
      </c>
      <c r="S17" t="s">
        <v>137</v>
      </c>
      <c r="T17">
        <v>0.68082399999999998</v>
      </c>
      <c r="U17">
        <v>2.5242000000000001E-2</v>
      </c>
      <c r="V17">
        <v>1.0189999999999999E-3</v>
      </c>
      <c r="W17">
        <v>9.6000000000000002E-4</v>
      </c>
      <c r="X17">
        <v>1.4297000000000001E-2</v>
      </c>
      <c r="Y17">
        <v>73.64</v>
      </c>
      <c r="Z17" t="s">
        <v>137</v>
      </c>
      <c r="AA17">
        <v>25.81</v>
      </c>
      <c r="AB17">
        <v>0.96</v>
      </c>
      <c r="AC17">
        <v>0.04</v>
      </c>
      <c r="AD17">
        <v>0.04</v>
      </c>
      <c r="AE17">
        <v>0.54</v>
      </c>
    </row>
    <row r="18" spans="1:31" x14ac:dyDescent="0.3">
      <c r="A18" t="s">
        <v>22</v>
      </c>
      <c r="B18">
        <v>3</v>
      </c>
      <c r="C18">
        <v>3</v>
      </c>
      <c r="D18">
        <v>3</v>
      </c>
      <c r="E18">
        <v>2</v>
      </c>
      <c r="F18">
        <v>0.9</v>
      </c>
      <c r="G18">
        <v>0.9</v>
      </c>
      <c r="H18">
        <v>5.0000000000000001E-3</v>
      </c>
      <c r="I18">
        <v>120</v>
      </c>
      <c r="J18">
        <v>100</v>
      </c>
      <c r="K18">
        <v>1.388037</v>
      </c>
      <c r="L18">
        <v>0.99136500000000005</v>
      </c>
      <c r="M18">
        <v>64.27</v>
      </c>
      <c r="N18">
        <v>19</v>
      </c>
      <c r="O18">
        <v>81</v>
      </c>
      <c r="P18">
        <v>4.692E-3</v>
      </c>
      <c r="Q18">
        <v>1.050378</v>
      </c>
      <c r="R18">
        <v>1.05507</v>
      </c>
      <c r="S18" t="s">
        <v>137</v>
      </c>
      <c r="T18">
        <v>0.33065499999999998</v>
      </c>
      <c r="U18">
        <v>1.3298000000000001E-2</v>
      </c>
      <c r="V18">
        <v>1.0330000000000001E-3</v>
      </c>
      <c r="W18">
        <v>5.3499999999999999E-4</v>
      </c>
      <c r="X18">
        <v>2.3110000000000001E-3</v>
      </c>
      <c r="Y18">
        <v>76.010000000000005</v>
      </c>
      <c r="Z18" t="s">
        <v>137</v>
      </c>
      <c r="AA18">
        <v>23.82</v>
      </c>
      <c r="AB18">
        <v>0.96</v>
      </c>
      <c r="AC18">
        <v>7.0000000000000007E-2</v>
      </c>
      <c r="AD18">
        <v>0.04</v>
      </c>
      <c r="AE18">
        <v>0.17</v>
      </c>
    </row>
    <row r="19" spans="1:31" x14ac:dyDescent="0.3">
      <c r="A19" t="s">
        <v>23</v>
      </c>
      <c r="B19">
        <v>3</v>
      </c>
      <c r="C19">
        <v>3</v>
      </c>
      <c r="D19">
        <v>3</v>
      </c>
      <c r="E19">
        <v>2</v>
      </c>
      <c r="F19">
        <v>0.9</v>
      </c>
      <c r="G19">
        <v>0.9</v>
      </c>
      <c r="H19">
        <v>5.0000000000000001E-3</v>
      </c>
      <c r="I19">
        <v>120</v>
      </c>
      <c r="J19">
        <v>100</v>
      </c>
      <c r="K19">
        <v>4.6920909999999996</v>
      </c>
      <c r="L19">
        <v>3.7423799999999998</v>
      </c>
      <c r="M19">
        <v>226.49</v>
      </c>
      <c r="N19">
        <v>78</v>
      </c>
      <c r="O19">
        <v>22</v>
      </c>
      <c r="P19">
        <v>4.8269999999999997E-3</v>
      </c>
      <c r="Q19">
        <v>3.2051470000000002</v>
      </c>
      <c r="R19">
        <v>3.2099739999999999</v>
      </c>
      <c r="S19" t="s">
        <v>137</v>
      </c>
      <c r="T19">
        <v>1.446054</v>
      </c>
      <c r="U19">
        <v>4.8474000000000003E-2</v>
      </c>
      <c r="V19">
        <v>1.042E-3</v>
      </c>
      <c r="W19">
        <v>1.8309999999999999E-3</v>
      </c>
      <c r="X19">
        <v>3.6063999999999999E-2</v>
      </c>
      <c r="Y19">
        <v>68.41</v>
      </c>
      <c r="Z19" t="s">
        <v>137</v>
      </c>
      <c r="AA19">
        <v>30.82</v>
      </c>
      <c r="AB19">
        <v>1.03</v>
      </c>
      <c r="AC19">
        <v>0.02</v>
      </c>
      <c r="AD19">
        <v>0.04</v>
      </c>
      <c r="AE19">
        <v>0.77</v>
      </c>
    </row>
    <row r="20" spans="1:31" x14ac:dyDescent="0.3">
      <c r="A20" t="s">
        <v>24</v>
      </c>
      <c r="B20">
        <v>3</v>
      </c>
      <c r="C20">
        <v>3</v>
      </c>
      <c r="D20">
        <v>3</v>
      </c>
      <c r="E20">
        <v>2</v>
      </c>
      <c r="F20">
        <v>0.9</v>
      </c>
      <c r="G20">
        <v>0.9</v>
      </c>
      <c r="H20">
        <v>5.0000000000000001E-3</v>
      </c>
      <c r="I20">
        <v>120</v>
      </c>
      <c r="J20">
        <v>100</v>
      </c>
      <c r="K20">
        <v>3.5444079999999998</v>
      </c>
      <c r="L20">
        <v>2.802289</v>
      </c>
      <c r="M20">
        <v>167.57</v>
      </c>
      <c r="N20">
        <v>66</v>
      </c>
      <c r="O20">
        <v>34</v>
      </c>
      <c r="P20">
        <v>4.718E-3</v>
      </c>
      <c r="Q20">
        <v>2.5098180000000001</v>
      </c>
      <c r="R20">
        <v>2.5145360000000001</v>
      </c>
      <c r="S20" t="s">
        <v>137</v>
      </c>
      <c r="T20">
        <v>1.0024979999999999</v>
      </c>
      <c r="U20">
        <v>3.5817000000000002E-2</v>
      </c>
      <c r="V20">
        <v>1.1299999999999999E-3</v>
      </c>
      <c r="W20">
        <v>1.341E-3</v>
      </c>
      <c r="X20">
        <v>2.7373999999999999E-2</v>
      </c>
      <c r="Y20">
        <v>70.94</v>
      </c>
      <c r="Z20" t="s">
        <v>137</v>
      </c>
      <c r="AA20">
        <v>28.28</v>
      </c>
      <c r="AB20">
        <v>1.01</v>
      </c>
      <c r="AC20">
        <v>0.03</v>
      </c>
      <c r="AD20">
        <v>0.04</v>
      </c>
      <c r="AE20">
        <v>0.77</v>
      </c>
    </row>
    <row r="21" spans="1:31" x14ac:dyDescent="0.3">
      <c r="A21" t="s">
        <v>25</v>
      </c>
      <c r="B21">
        <v>3</v>
      </c>
      <c r="C21">
        <v>3</v>
      </c>
      <c r="D21">
        <v>3</v>
      </c>
      <c r="E21">
        <v>2</v>
      </c>
      <c r="F21">
        <v>0.9</v>
      </c>
      <c r="G21">
        <v>0.9</v>
      </c>
      <c r="H21">
        <v>5.0000000000000001E-3</v>
      </c>
      <c r="I21">
        <v>120</v>
      </c>
      <c r="J21">
        <v>100</v>
      </c>
      <c r="K21">
        <v>5.640377</v>
      </c>
      <c r="L21">
        <v>4.1041150000000002</v>
      </c>
      <c r="M21">
        <v>249.53</v>
      </c>
      <c r="N21">
        <v>81</v>
      </c>
      <c r="O21">
        <v>19</v>
      </c>
      <c r="P21">
        <v>4.5770000000000003E-3</v>
      </c>
      <c r="Q21">
        <v>3.8118050000000001</v>
      </c>
      <c r="R21">
        <v>3.8163809999999998</v>
      </c>
      <c r="S21" t="s">
        <v>137</v>
      </c>
      <c r="T21">
        <v>1.7729090000000001</v>
      </c>
      <c r="U21">
        <v>5.3759000000000001E-2</v>
      </c>
      <c r="V21">
        <v>1.0640000000000001E-3</v>
      </c>
      <c r="W21">
        <v>2.1359999999999999E-3</v>
      </c>
      <c r="X21">
        <v>5.1087E-2</v>
      </c>
      <c r="Y21">
        <v>67.66</v>
      </c>
      <c r="Z21" t="s">
        <v>137</v>
      </c>
      <c r="AA21">
        <v>31.43</v>
      </c>
      <c r="AB21">
        <v>0.95</v>
      </c>
      <c r="AC21">
        <v>0.02</v>
      </c>
      <c r="AD21">
        <v>0.04</v>
      </c>
      <c r="AE21">
        <v>0.91</v>
      </c>
    </row>
    <row r="22" spans="1:31" x14ac:dyDescent="0.3">
      <c r="A22" t="s">
        <v>26</v>
      </c>
      <c r="B22">
        <v>3</v>
      </c>
      <c r="C22">
        <v>3</v>
      </c>
      <c r="D22">
        <v>3</v>
      </c>
      <c r="E22">
        <v>2</v>
      </c>
      <c r="F22">
        <v>0.9</v>
      </c>
      <c r="G22">
        <v>0.9</v>
      </c>
      <c r="H22">
        <v>5.0000000000000001E-3</v>
      </c>
      <c r="I22">
        <v>120</v>
      </c>
      <c r="J22">
        <v>100</v>
      </c>
      <c r="K22">
        <v>3.1122030000000001</v>
      </c>
      <c r="L22">
        <v>2.0951719999999998</v>
      </c>
      <c r="M22">
        <v>136.53</v>
      </c>
      <c r="N22">
        <v>53</v>
      </c>
      <c r="O22">
        <v>47</v>
      </c>
      <c r="P22">
        <v>4.5279999999999999E-3</v>
      </c>
      <c r="Q22">
        <v>2.2711199999999998</v>
      </c>
      <c r="R22">
        <v>2.2756470000000002</v>
      </c>
      <c r="S22" t="s">
        <v>137</v>
      </c>
      <c r="T22">
        <v>0.82176300000000002</v>
      </c>
      <c r="U22">
        <v>2.9139999999999999E-2</v>
      </c>
      <c r="V22">
        <v>1.0579999999999999E-3</v>
      </c>
      <c r="W22">
        <v>1.2409999999999999E-3</v>
      </c>
      <c r="X22">
        <v>1.4793000000000001E-2</v>
      </c>
      <c r="Y22">
        <v>73.12</v>
      </c>
      <c r="Z22" t="s">
        <v>137</v>
      </c>
      <c r="AA22">
        <v>26.4</v>
      </c>
      <c r="AB22">
        <v>0.94</v>
      </c>
      <c r="AC22">
        <v>0.03</v>
      </c>
      <c r="AD22">
        <v>0.04</v>
      </c>
      <c r="AE22">
        <v>0.48</v>
      </c>
    </row>
    <row r="23" spans="1:31" x14ac:dyDescent="0.3">
      <c r="A23" t="s">
        <v>27</v>
      </c>
      <c r="B23">
        <v>3</v>
      </c>
      <c r="C23">
        <v>3</v>
      </c>
      <c r="D23">
        <v>3</v>
      </c>
      <c r="E23">
        <v>2</v>
      </c>
      <c r="F23">
        <v>0.9</v>
      </c>
      <c r="G23">
        <v>0.9</v>
      </c>
      <c r="H23">
        <v>5.0000000000000001E-3</v>
      </c>
      <c r="I23">
        <v>120</v>
      </c>
      <c r="J23">
        <v>100</v>
      </c>
      <c r="K23">
        <v>15.377003999999999</v>
      </c>
      <c r="L23">
        <v>13.213615000000001</v>
      </c>
      <c r="M23">
        <v>724.59</v>
      </c>
      <c r="N23">
        <v>98</v>
      </c>
      <c r="O23">
        <v>2</v>
      </c>
      <c r="P23">
        <v>4.7549999999999997E-3</v>
      </c>
      <c r="Q23">
        <v>7.75474</v>
      </c>
      <c r="R23">
        <v>7.7594940000000001</v>
      </c>
      <c r="S23" t="s">
        <v>137</v>
      </c>
      <c r="T23">
        <v>7.456842</v>
      </c>
      <c r="U23">
        <v>0.15765199999999999</v>
      </c>
      <c r="V23">
        <v>1.0499999999999999E-3</v>
      </c>
      <c r="W23">
        <v>5.9090000000000002E-3</v>
      </c>
      <c r="X23">
        <v>0.16066800000000001</v>
      </c>
      <c r="Y23">
        <v>50.46</v>
      </c>
      <c r="Z23" t="s">
        <v>137</v>
      </c>
      <c r="AA23">
        <v>48.49</v>
      </c>
      <c r="AB23">
        <v>1.03</v>
      </c>
      <c r="AC23">
        <v>0.01</v>
      </c>
      <c r="AD23">
        <v>0.04</v>
      </c>
      <c r="AE23">
        <v>1.04</v>
      </c>
    </row>
    <row r="24" spans="1:31" x14ac:dyDescent="0.3">
      <c r="A24" t="s">
        <v>28</v>
      </c>
      <c r="B24">
        <v>3</v>
      </c>
      <c r="C24">
        <v>3</v>
      </c>
      <c r="D24">
        <v>3</v>
      </c>
      <c r="E24">
        <v>2</v>
      </c>
      <c r="F24">
        <v>0.9</v>
      </c>
      <c r="G24">
        <v>0.9</v>
      </c>
      <c r="H24">
        <v>5.0000000000000001E-3</v>
      </c>
      <c r="I24">
        <v>120</v>
      </c>
      <c r="J24">
        <v>100</v>
      </c>
      <c r="K24">
        <v>4.0663780000000003</v>
      </c>
      <c r="L24">
        <v>4.2370210000000004</v>
      </c>
      <c r="M24">
        <v>195.34</v>
      </c>
      <c r="N24">
        <v>66</v>
      </c>
      <c r="O24">
        <v>34</v>
      </c>
      <c r="P24">
        <v>4.7429999999999998E-3</v>
      </c>
      <c r="Q24">
        <v>2.734251</v>
      </c>
      <c r="R24">
        <v>2.7389939999999999</v>
      </c>
      <c r="S24" t="s">
        <v>137</v>
      </c>
      <c r="T24">
        <v>1.3063629999999999</v>
      </c>
      <c r="U24">
        <v>4.1921E-2</v>
      </c>
      <c r="V24">
        <v>1.0380000000000001E-3</v>
      </c>
      <c r="W24">
        <v>1.6119999999999999E-3</v>
      </c>
      <c r="X24">
        <v>2.102E-2</v>
      </c>
      <c r="Y24">
        <v>67.36</v>
      </c>
      <c r="Z24" t="s">
        <v>137</v>
      </c>
      <c r="AA24">
        <v>32.130000000000003</v>
      </c>
      <c r="AB24">
        <v>1.03</v>
      </c>
      <c r="AC24">
        <v>0.03</v>
      </c>
      <c r="AD24">
        <v>0.04</v>
      </c>
      <c r="AE24">
        <v>0.52</v>
      </c>
    </row>
    <row r="25" spans="1:31" x14ac:dyDescent="0.3">
      <c r="A25" t="s">
        <v>29</v>
      </c>
      <c r="B25">
        <v>3</v>
      </c>
      <c r="C25">
        <v>3</v>
      </c>
      <c r="D25">
        <v>3</v>
      </c>
      <c r="E25">
        <v>2</v>
      </c>
      <c r="F25">
        <v>0.9</v>
      </c>
      <c r="G25">
        <v>0.9</v>
      </c>
      <c r="H25">
        <v>5.0000000000000001E-3</v>
      </c>
      <c r="I25">
        <v>120</v>
      </c>
      <c r="J25">
        <v>100</v>
      </c>
      <c r="K25">
        <v>3.2498640000000001</v>
      </c>
      <c r="L25">
        <v>2.8586399999999998</v>
      </c>
      <c r="M25">
        <v>148.4</v>
      </c>
      <c r="N25">
        <v>55</v>
      </c>
      <c r="O25">
        <v>45</v>
      </c>
      <c r="P25">
        <v>4.6690000000000004E-3</v>
      </c>
      <c r="Q25">
        <v>2.303814</v>
      </c>
      <c r="R25">
        <v>2.308484</v>
      </c>
      <c r="S25" t="s">
        <v>137</v>
      </c>
      <c r="T25">
        <v>0.92236499999999999</v>
      </c>
      <c r="U25">
        <v>3.1662000000000003E-2</v>
      </c>
      <c r="V25">
        <v>1.0380000000000001E-3</v>
      </c>
      <c r="W25">
        <v>1.238E-3</v>
      </c>
      <c r="X25">
        <v>1.9014E-2</v>
      </c>
      <c r="Y25">
        <v>71.03</v>
      </c>
      <c r="Z25" t="s">
        <v>137</v>
      </c>
      <c r="AA25">
        <v>28.38</v>
      </c>
      <c r="AB25">
        <v>0.97</v>
      </c>
      <c r="AC25">
        <v>0.03</v>
      </c>
      <c r="AD25">
        <v>0.04</v>
      </c>
      <c r="AE25">
        <v>0.59</v>
      </c>
    </row>
    <row r="26" spans="1:31" x14ac:dyDescent="0.3">
      <c r="A26" t="s">
        <v>30</v>
      </c>
      <c r="B26">
        <v>3</v>
      </c>
      <c r="C26">
        <v>3</v>
      </c>
      <c r="D26">
        <v>3</v>
      </c>
      <c r="E26">
        <v>2</v>
      </c>
      <c r="F26">
        <v>0.9</v>
      </c>
      <c r="G26">
        <v>0.9</v>
      </c>
      <c r="H26">
        <v>5.0000000000000001E-3</v>
      </c>
      <c r="I26">
        <v>120</v>
      </c>
      <c r="J26">
        <v>100</v>
      </c>
      <c r="K26">
        <v>4.5734950000000003</v>
      </c>
      <c r="L26">
        <v>3.336274</v>
      </c>
      <c r="M26">
        <v>197.64</v>
      </c>
      <c r="N26">
        <v>77</v>
      </c>
      <c r="O26">
        <v>23</v>
      </c>
      <c r="P26">
        <v>4.5869999999999999E-3</v>
      </c>
      <c r="Q26">
        <v>3.198604</v>
      </c>
      <c r="R26">
        <v>3.2031909999999999</v>
      </c>
      <c r="S26" t="s">
        <v>137</v>
      </c>
      <c r="T26">
        <v>1.3370420000000001</v>
      </c>
      <c r="U26">
        <v>4.2311000000000001E-2</v>
      </c>
      <c r="V26">
        <v>1.0369999999999999E-3</v>
      </c>
      <c r="W26">
        <v>1.755E-3</v>
      </c>
      <c r="X26">
        <v>3.3263000000000001E-2</v>
      </c>
      <c r="Y26">
        <v>70.040000000000006</v>
      </c>
      <c r="Z26" t="s">
        <v>137</v>
      </c>
      <c r="AA26">
        <v>29.23</v>
      </c>
      <c r="AB26">
        <v>0.93</v>
      </c>
      <c r="AC26">
        <v>0.02</v>
      </c>
      <c r="AD26">
        <v>0.04</v>
      </c>
      <c r="AE26">
        <v>0.73</v>
      </c>
    </row>
    <row r="27" spans="1:31" x14ac:dyDescent="0.3">
      <c r="A27" t="s">
        <v>31</v>
      </c>
      <c r="B27">
        <v>3</v>
      </c>
      <c r="C27">
        <v>3</v>
      </c>
      <c r="D27">
        <v>3</v>
      </c>
      <c r="E27">
        <v>2</v>
      </c>
      <c r="F27">
        <v>0.9</v>
      </c>
      <c r="G27">
        <v>0.9</v>
      </c>
      <c r="H27">
        <v>5.0000000000000001E-3</v>
      </c>
      <c r="I27">
        <v>120</v>
      </c>
      <c r="J27">
        <v>100</v>
      </c>
      <c r="K27">
        <v>1.729824</v>
      </c>
      <c r="L27">
        <v>1.199184</v>
      </c>
      <c r="M27">
        <v>76.760000000000005</v>
      </c>
      <c r="N27">
        <v>25</v>
      </c>
      <c r="O27">
        <v>75</v>
      </c>
      <c r="P27">
        <v>4.6309999999999997E-3</v>
      </c>
      <c r="Q27">
        <v>1.3113269999999999</v>
      </c>
      <c r="R27">
        <v>1.315958</v>
      </c>
      <c r="S27" t="s">
        <v>137</v>
      </c>
      <c r="T27">
        <v>0.40890100000000001</v>
      </c>
      <c r="U27">
        <v>1.6098000000000001E-2</v>
      </c>
      <c r="V27">
        <v>9.8900000000000008E-4</v>
      </c>
      <c r="W27">
        <v>6.4700000000000001E-4</v>
      </c>
      <c r="X27">
        <v>4.9659999999999999E-3</v>
      </c>
      <c r="Y27">
        <v>76.069999999999993</v>
      </c>
      <c r="Z27" t="s">
        <v>137</v>
      </c>
      <c r="AA27">
        <v>23.64</v>
      </c>
      <c r="AB27">
        <v>0.93</v>
      </c>
      <c r="AC27">
        <v>0.06</v>
      </c>
      <c r="AD27">
        <v>0.04</v>
      </c>
      <c r="AE27">
        <v>0.28999999999999998</v>
      </c>
    </row>
    <row r="28" spans="1:31" x14ac:dyDescent="0.3">
      <c r="A28" t="s">
        <v>32</v>
      </c>
      <c r="B28">
        <v>3</v>
      </c>
      <c r="C28">
        <v>3</v>
      </c>
      <c r="D28">
        <v>3</v>
      </c>
      <c r="E28">
        <v>2</v>
      </c>
      <c r="F28">
        <v>0.9</v>
      </c>
      <c r="G28">
        <v>0.9</v>
      </c>
      <c r="H28">
        <v>5.0000000000000001E-3</v>
      </c>
      <c r="I28">
        <v>120</v>
      </c>
      <c r="J28">
        <v>100</v>
      </c>
      <c r="K28">
        <v>3.1827290000000001</v>
      </c>
      <c r="L28">
        <v>2.4531679999999998</v>
      </c>
      <c r="M28">
        <v>149.91</v>
      </c>
      <c r="N28">
        <v>61</v>
      </c>
      <c r="O28">
        <v>39</v>
      </c>
      <c r="P28">
        <v>4.7479999999999996E-3</v>
      </c>
      <c r="Q28">
        <v>2.2858149999999999</v>
      </c>
      <c r="R28">
        <v>2.2905630000000001</v>
      </c>
      <c r="S28" t="s">
        <v>137</v>
      </c>
      <c r="T28">
        <v>0.875301</v>
      </c>
      <c r="U28">
        <v>3.2011999999999999E-2</v>
      </c>
      <c r="V28">
        <v>1.0579999999999999E-3</v>
      </c>
      <c r="W28">
        <v>1.266E-3</v>
      </c>
      <c r="X28">
        <v>1.6864000000000001E-2</v>
      </c>
      <c r="Y28">
        <v>71.97</v>
      </c>
      <c r="Z28" t="s">
        <v>137</v>
      </c>
      <c r="AA28">
        <v>27.5</v>
      </c>
      <c r="AB28">
        <v>1.01</v>
      </c>
      <c r="AC28">
        <v>0.03</v>
      </c>
      <c r="AD28">
        <v>0.04</v>
      </c>
      <c r="AE28">
        <v>0.53</v>
      </c>
    </row>
    <row r="29" spans="1:31" x14ac:dyDescent="0.3">
      <c r="A29" t="s">
        <v>33</v>
      </c>
      <c r="B29">
        <v>3</v>
      </c>
      <c r="C29">
        <v>3</v>
      </c>
      <c r="D29">
        <v>3</v>
      </c>
      <c r="E29">
        <v>2</v>
      </c>
      <c r="F29">
        <v>0.9</v>
      </c>
      <c r="G29">
        <v>0.9</v>
      </c>
      <c r="H29">
        <v>5.0000000000000001E-3</v>
      </c>
      <c r="I29">
        <v>120</v>
      </c>
      <c r="J29">
        <v>100</v>
      </c>
      <c r="K29">
        <v>8.9871400000000001</v>
      </c>
      <c r="L29">
        <v>9.259779</v>
      </c>
      <c r="M29">
        <v>427.8</v>
      </c>
      <c r="N29">
        <v>85</v>
      </c>
      <c r="O29">
        <v>15</v>
      </c>
      <c r="P29">
        <v>4.6470000000000001E-3</v>
      </c>
      <c r="Q29">
        <v>5.1218260000000004</v>
      </c>
      <c r="R29">
        <v>5.126474</v>
      </c>
      <c r="S29" t="s">
        <v>137</v>
      </c>
      <c r="T29">
        <v>3.7727940000000002</v>
      </c>
      <c r="U29">
        <v>9.2717999999999995E-2</v>
      </c>
      <c r="V29">
        <v>1.0820000000000001E-3</v>
      </c>
      <c r="W29">
        <v>3.3969999999999998E-3</v>
      </c>
      <c r="X29">
        <v>8.7872000000000006E-2</v>
      </c>
      <c r="Y29">
        <v>57.04</v>
      </c>
      <c r="Z29" t="s">
        <v>137</v>
      </c>
      <c r="AA29">
        <v>41.98</v>
      </c>
      <c r="AB29">
        <v>1.03</v>
      </c>
      <c r="AC29">
        <v>0.01</v>
      </c>
      <c r="AD29">
        <v>0.04</v>
      </c>
      <c r="AE29">
        <v>0.98</v>
      </c>
    </row>
    <row r="30" spans="1:31" x14ac:dyDescent="0.3">
      <c r="A30" t="s">
        <v>34</v>
      </c>
      <c r="B30">
        <v>3</v>
      </c>
      <c r="C30">
        <v>3</v>
      </c>
      <c r="D30">
        <v>3</v>
      </c>
      <c r="E30">
        <v>2</v>
      </c>
      <c r="F30">
        <v>0.9</v>
      </c>
      <c r="G30">
        <v>0.9</v>
      </c>
      <c r="H30">
        <v>5.0000000000000001E-3</v>
      </c>
      <c r="I30">
        <v>120</v>
      </c>
      <c r="J30">
        <v>100</v>
      </c>
      <c r="K30">
        <v>9.9598010000000006</v>
      </c>
      <c r="L30">
        <v>10.842198</v>
      </c>
      <c r="M30">
        <v>487.13</v>
      </c>
      <c r="N30">
        <v>88</v>
      </c>
      <c r="O30">
        <v>12</v>
      </c>
      <c r="P30">
        <v>4.7930000000000004E-3</v>
      </c>
      <c r="Q30">
        <v>5.469055</v>
      </c>
      <c r="R30">
        <v>5.4738480000000003</v>
      </c>
      <c r="S30" t="s">
        <v>137</v>
      </c>
      <c r="T30">
        <v>4.3643530000000004</v>
      </c>
      <c r="U30">
        <v>0.10565099999999999</v>
      </c>
      <c r="V30">
        <v>1.137E-3</v>
      </c>
      <c r="W30">
        <v>3.8560000000000001E-3</v>
      </c>
      <c r="X30">
        <v>0.121601</v>
      </c>
      <c r="Y30">
        <v>54.96</v>
      </c>
      <c r="Z30" t="s">
        <v>137</v>
      </c>
      <c r="AA30">
        <v>43.82</v>
      </c>
      <c r="AB30">
        <v>1.06</v>
      </c>
      <c r="AC30">
        <v>0.01</v>
      </c>
      <c r="AD30">
        <v>0.04</v>
      </c>
      <c r="AE30">
        <v>1.22</v>
      </c>
    </row>
    <row r="31" spans="1:31" x14ac:dyDescent="0.3">
      <c r="A31" t="s">
        <v>35</v>
      </c>
      <c r="B31">
        <v>3</v>
      </c>
      <c r="C31">
        <v>3</v>
      </c>
      <c r="D31">
        <v>3</v>
      </c>
      <c r="E31">
        <v>2</v>
      </c>
      <c r="F31">
        <v>0.9</v>
      </c>
      <c r="G31">
        <v>0.9</v>
      </c>
      <c r="H31">
        <v>5.0000000000000001E-3</v>
      </c>
      <c r="I31">
        <v>120</v>
      </c>
      <c r="J31">
        <v>100</v>
      </c>
      <c r="K31">
        <v>4.9283029999999997</v>
      </c>
      <c r="L31">
        <v>4.7787189999999997</v>
      </c>
      <c r="M31">
        <v>221.72</v>
      </c>
      <c r="N31">
        <v>77</v>
      </c>
      <c r="O31">
        <v>23</v>
      </c>
      <c r="P31">
        <v>4.5760000000000002E-3</v>
      </c>
      <c r="Q31">
        <v>3.257644</v>
      </c>
      <c r="R31">
        <v>3.2622200000000001</v>
      </c>
      <c r="S31" t="s">
        <v>137</v>
      </c>
      <c r="T31">
        <v>1.630012</v>
      </c>
      <c r="U31">
        <v>4.7952000000000002E-2</v>
      </c>
      <c r="V31">
        <v>1.0330000000000001E-3</v>
      </c>
      <c r="W31">
        <v>1.9E-3</v>
      </c>
      <c r="X31">
        <v>3.6069999999999998E-2</v>
      </c>
      <c r="Y31">
        <v>66.19</v>
      </c>
      <c r="Z31" t="s">
        <v>137</v>
      </c>
      <c r="AA31">
        <v>33.07</v>
      </c>
      <c r="AB31">
        <v>0.97</v>
      </c>
      <c r="AC31">
        <v>0.02</v>
      </c>
      <c r="AD31">
        <v>0.04</v>
      </c>
      <c r="AE31">
        <v>0.73</v>
      </c>
    </row>
    <row r="32" spans="1:31" x14ac:dyDescent="0.3">
      <c r="A32" t="s">
        <v>36</v>
      </c>
      <c r="B32">
        <v>3</v>
      </c>
      <c r="C32">
        <v>3</v>
      </c>
      <c r="D32">
        <v>3</v>
      </c>
      <c r="E32">
        <v>2</v>
      </c>
      <c r="F32">
        <v>0.9</v>
      </c>
      <c r="G32">
        <v>0.9</v>
      </c>
      <c r="H32">
        <v>5.0000000000000001E-3</v>
      </c>
      <c r="I32">
        <v>120</v>
      </c>
      <c r="J32">
        <v>100</v>
      </c>
      <c r="K32">
        <v>3.8090039999999998</v>
      </c>
      <c r="L32">
        <v>3.0318900000000002</v>
      </c>
      <c r="M32">
        <v>172.06</v>
      </c>
      <c r="N32">
        <v>62</v>
      </c>
      <c r="O32">
        <v>38</v>
      </c>
      <c r="P32">
        <v>4.6080000000000001E-3</v>
      </c>
      <c r="Q32">
        <v>2.687144</v>
      </c>
      <c r="R32">
        <v>2.6917529999999998</v>
      </c>
      <c r="S32" t="s">
        <v>137</v>
      </c>
      <c r="T32">
        <v>1.0910740000000001</v>
      </c>
      <c r="U32">
        <v>3.7095000000000003E-2</v>
      </c>
      <c r="V32">
        <v>1.1689999999999999E-3</v>
      </c>
      <c r="W32">
        <v>1.4809999999999999E-3</v>
      </c>
      <c r="X32">
        <v>2.6178E-2</v>
      </c>
      <c r="Y32">
        <v>70.67</v>
      </c>
      <c r="Z32" t="s">
        <v>137</v>
      </c>
      <c r="AA32">
        <v>28.64</v>
      </c>
      <c r="AB32">
        <v>0.97</v>
      </c>
      <c r="AC32">
        <v>0.03</v>
      </c>
      <c r="AD32">
        <v>0.04</v>
      </c>
      <c r="AE32">
        <v>0.69</v>
      </c>
    </row>
    <row r="33" spans="1:31" x14ac:dyDescent="0.3">
      <c r="A33" t="s">
        <v>37</v>
      </c>
      <c r="B33">
        <v>3</v>
      </c>
      <c r="C33">
        <v>3</v>
      </c>
      <c r="D33">
        <v>3</v>
      </c>
      <c r="E33">
        <v>2</v>
      </c>
      <c r="F33">
        <v>0.9</v>
      </c>
      <c r="G33">
        <v>0.9</v>
      </c>
      <c r="H33">
        <v>5.0000000000000001E-3</v>
      </c>
      <c r="I33">
        <v>120</v>
      </c>
      <c r="J33">
        <v>100</v>
      </c>
      <c r="K33">
        <v>4.7174690000000004</v>
      </c>
      <c r="L33">
        <v>3.56223</v>
      </c>
      <c r="M33">
        <v>227.65</v>
      </c>
      <c r="N33">
        <v>74</v>
      </c>
      <c r="O33">
        <v>26</v>
      </c>
      <c r="P33">
        <v>4.6889999999999996E-3</v>
      </c>
      <c r="Q33">
        <v>3.2676530000000001</v>
      </c>
      <c r="R33">
        <v>3.2723429999999998</v>
      </c>
      <c r="S33" t="s">
        <v>137</v>
      </c>
      <c r="T33">
        <v>1.4021479999999999</v>
      </c>
      <c r="U33">
        <v>4.8923000000000001E-2</v>
      </c>
      <c r="V33">
        <v>1.0579999999999999E-3</v>
      </c>
      <c r="W33">
        <v>1.9239999999999999E-3</v>
      </c>
      <c r="X33">
        <v>4.2979000000000003E-2</v>
      </c>
      <c r="Y33">
        <v>69.37</v>
      </c>
      <c r="Z33" t="s">
        <v>137</v>
      </c>
      <c r="AA33">
        <v>29.72</v>
      </c>
      <c r="AB33">
        <v>1.04</v>
      </c>
      <c r="AC33">
        <v>0.02</v>
      </c>
      <c r="AD33">
        <v>0.04</v>
      </c>
      <c r="AE33">
        <v>0.91</v>
      </c>
    </row>
    <row r="34" spans="1:31" x14ac:dyDescent="0.3">
      <c r="A34" t="s">
        <v>38</v>
      </c>
      <c r="B34">
        <v>3</v>
      </c>
      <c r="C34">
        <v>3</v>
      </c>
      <c r="D34">
        <v>3</v>
      </c>
      <c r="E34">
        <v>2</v>
      </c>
      <c r="F34">
        <v>0.9</v>
      </c>
      <c r="G34">
        <v>0.9</v>
      </c>
      <c r="H34">
        <v>5.0000000000000001E-3</v>
      </c>
      <c r="I34">
        <v>120</v>
      </c>
      <c r="J34">
        <v>100</v>
      </c>
      <c r="K34">
        <v>1.541655</v>
      </c>
      <c r="L34">
        <v>1.1345860000000001</v>
      </c>
      <c r="M34">
        <v>69.92</v>
      </c>
      <c r="N34">
        <v>22</v>
      </c>
      <c r="O34">
        <v>78</v>
      </c>
      <c r="P34">
        <v>4.7080000000000004E-3</v>
      </c>
      <c r="Q34">
        <v>1.1641539999999999</v>
      </c>
      <c r="R34">
        <v>1.1688620000000001</v>
      </c>
      <c r="S34" t="s">
        <v>137</v>
      </c>
      <c r="T34">
        <v>0.37017299999999997</v>
      </c>
      <c r="U34">
        <v>1.4985E-2</v>
      </c>
      <c r="V34">
        <v>1.0120000000000001E-3</v>
      </c>
      <c r="W34">
        <v>5.2999999999999998E-4</v>
      </c>
      <c r="X34">
        <v>2.6199999999999999E-3</v>
      </c>
      <c r="Y34">
        <v>75.819999999999993</v>
      </c>
      <c r="Z34" t="s">
        <v>137</v>
      </c>
      <c r="AA34">
        <v>24.01</v>
      </c>
      <c r="AB34">
        <v>0.97</v>
      </c>
      <c r="AC34">
        <v>7.0000000000000007E-2</v>
      </c>
      <c r="AD34">
        <v>0.03</v>
      </c>
      <c r="AE34">
        <v>0.17</v>
      </c>
    </row>
    <row r="35" spans="1:31" x14ac:dyDescent="0.3">
      <c r="A35" t="s">
        <v>39</v>
      </c>
      <c r="B35">
        <v>3</v>
      </c>
      <c r="C35">
        <v>3</v>
      </c>
      <c r="D35">
        <v>3</v>
      </c>
      <c r="E35">
        <v>2</v>
      </c>
      <c r="F35">
        <v>0.9</v>
      </c>
      <c r="G35">
        <v>0.9</v>
      </c>
      <c r="H35">
        <v>5.0000000000000001E-3</v>
      </c>
      <c r="I35">
        <v>120</v>
      </c>
      <c r="J35">
        <v>99</v>
      </c>
      <c r="K35">
        <v>2.4708809999999999</v>
      </c>
      <c r="L35">
        <v>1.964744</v>
      </c>
      <c r="M35">
        <v>113.28</v>
      </c>
      <c r="N35">
        <v>49</v>
      </c>
      <c r="O35">
        <v>50</v>
      </c>
      <c r="P35">
        <v>4.7070000000000002E-3</v>
      </c>
      <c r="Q35">
        <v>1.814654</v>
      </c>
      <c r="R35">
        <v>1.819361</v>
      </c>
      <c r="S35" t="s">
        <v>137</v>
      </c>
      <c r="T35">
        <v>0.63967200000000002</v>
      </c>
      <c r="U35">
        <v>2.4150999999999999E-2</v>
      </c>
      <c r="V35">
        <v>1.0120000000000001E-3</v>
      </c>
      <c r="W35">
        <v>9.6000000000000002E-4</v>
      </c>
      <c r="X35">
        <v>1.1847999999999999E-2</v>
      </c>
      <c r="Y35">
        <v>73.63</v>
      </c>
      <c r="Z35" t="s">
        <v>137</v>
      </c>
      <c r="AA35">
        <v>25.89</v>
      </c>
      <c r="AB35">
        <v>0.98</v>
      </c>
      <c r="AC35">
        <v>0.04</v>
      </c>
      <c r="AD35">
        <v>0.04</v>
      </c>
      <c r="AE35">
        <v>0.48</v>
      </c>
    </row>
    <row r="36" spans="1:31" x14ac:dyDescent="0.3">
      <c r="A36" t="s">
        <v>40</v>
      </c>
      <c r="B36">
        <v>3</v>
      </c>
      <c r="C36">
        <v>3</v>
      </c>
      <c r="D36">
        <v>3</v>
      </c>
      <c r="E36">
        <v>2</v>
      </c>
      <c r="F36">
        <v>0.9</v>
      </c>
      <c r="G36">
        <v>0.9</v>
      </c>
      <c r="H36">
        <v>5.0000000000000001E-3</v>
      </c>
      <c r="I36">
        <v>120</v>
      </c>
      <c r="J36">
        <v>99</v>
      </c>
      <c r="K36">
        <v>13.059825999999999</v>
      </c>
      <c r="L36">
        <v>14.786274000000001</v>
      </c>
      <c r="M36">
        <v>620.66</v>
      </c>
      <c r="N36">
        <v>92</v>
      </c>
      <c r="O36">
        <v>7</v>
      </c>
      <c r="P36">
        <v>4.8110000000000002E-3</v>
      </c>
      <c r="Q36">
        <v>6.5304609999999998</v>
      </c>
      <c r="R36">
        <v>6.535272</v>
      </c>
      <c r="S36" t="s">
        <v>137</v>
      </c>
      <c r="T36">
        <v>6.3631320000000002</v>
      </c>
      <c r="U36">
        <v>0.135962</v>
      </c>
      <c r="V36">
        <v>1.1230000000000001E-3</v>
      </c>
      <c r="W36">
        <v>5.3639999999999998E-3</v>
      </c>
      <c r="X36">
        <v>0.16142200000000001</v>
      </c>
      <c r="Y36">
        <v>50.04</v>
      </c>
      <c r="Z36" t="s">
        <v>137</v>
      </c>
      <c r="AA36">
        <v>48.72</v>
      </c>
      <c r="AB36">
        <v>1.04</v>
      </c>
      <c r="AC36">
        <v>0.01</v>
      </c>
      <c r="AD36">
        <v>0.04</v>
      </c>
      <c r="AE36">
        <v>1.24</v>
      </c>
    </row>
    <row r="37" spans="1:31" x14ac:dyDescent="0.3">
      <c r="A37" t="s">
        <v>41</v>
      </c>
      <c r="B37">
        <v>3</v>
      </c>
      <c r="C37">
        <v>3</v>
      </c>
      <c r="D37">
        <v>3</v>
      </c>
      <c r="E37">
        <v>2</v>
      </c>
      <c r="F37">
        <v>0.9</v>
      </c>
      <c r="G37">
        <v>0.9</v>
      </c>
      <c r="H37">
        <v>5.0000000000000001E-3</v>
      </c>
      <c r="I37">
        <v>120</v>
      </c>
      <c r="J37">
        <v>100</v>
      </c>
      <c r="K37">
        <v>2.0174859999999999</v>
      </c>
      <c r="L37">
        <v>1.2226980000000001</v>
      </c>
      <c r="M37">
        <v>92.15</v>
      </c>
      <c r="N37">
        <v>36</v>
      </c>
      <c r="O37">
        <v>64</v>
      </c>
      <c r="P37">
        <v>4.7889999999999999E-3</v>
      </c>
      <c r="Q37">
        <v>1.5240670000000001</v>
      </c>
      <c r="R37">
        <v>1.528856</v>
      </c>
      <c r="S37" t="s">
        <v>137</v>
      </c>
      <c r="T37">
        <v>0.47903099999999998</v>
      </c>
      <c r="U37">
        <v>1.9505000000000002E-2</v>
      </c>
      <c r="V37">
        <v>1.059E-3</v>
      </c>
      <c r="W37">
        <v>7.1100000000000004E-4</v>
      </c>
      <c r="X37">
        <v>9.5989999999999999E-3</v>
      </c>
      <c r="Y37">
        <v>75.78</v>
      </c>
      <c r="Z37" t="s">
        <v>137</v>
      </c>
      <c r="AA37">
        <v>23.74</v>
      </c>
      <c r="AB37">
        <v>0.97</v>
      </c>
      <c r="AC37">
        <v>0.05</v>
      </c>
      <c r="AD37">
        <v>0.04</v>
      </c>
      <c r="AE37">
        <v>0.48</v>
      </c>
    </row>
    <row r="38" spans="1:31" x14ac:dyDescent="0.3">
      <c r="A38" t="s">
        <v>42</v>
      </c>
      <c r="B38">
        <v>3</v>
      </c>
      <c r="C38">
        <v>3</v>
      </c>
      <c r="D38">
        <v>3</v>
      </c>
      <c r="E38">
        <v>2</v>
      </c>
      <c r="F38">
        <v>0.9</v>
      </c>
      <c r="G38">
        <v>0.9</v>
      </c>
      <c r="H38">
        <v>5.0000000000000001E-3</v>
      </c>
      <c r="I38">
        <v>120</v>
      </c>
      <c r="J38">
        <v>100</v>
      </c>
      <c r="K38">
        <v>2.2839520000000002</v>
      </c>
      <c r="L38">
        <v>1.806724</v>
      </c>
      <c r="M38">
        <v>110.32</v>
      </c>
      <c r="N38">
        <v>42</v>
      </c>
      <c r="O38">
        <v>58</v>
      </c>
      <c r="P38">
        <v>4.9179999999999996E-3</v>
      </c>
      <c r="Q38">
        <v>1.680353</v>
      </c>
      <c r="R38">
        <v>1.685271</v>
      </c>
      <c r="S38" t="s">
        <v>137</v>
      </c>
      <c r="T38">
        <v>0.58884700000000001</v>
      </c>
      <c r="U38">
        <v>2.3550999999999999E-2</v>
      </c>
      <c r="V38">
        <v>1.008E-3</v>
      </c>
      <c r="W38">
        <v>9.1399999999999999E-4</v>
      </c>
      <c r="X38">
        <v>9.8340000000000007E-3</v>
      </c>
      <c r="Y38">
        <v>73.790000000000006</v>
      </c>
      <c r="Z38" t="s">
        <v>137</v>
      </c>
      <c r="AA38">
        <v>25.78</v>
      </c>
      <c r="AB38">
        <v>1.03</v>
      </c>
      <c r="AC38">
        <v>0.04</v>
      </c>
      <c r="AD38">
        <v>0.04</v>
      </c>
      <c r="AE38">
        <v>0.43</v>
      </c>
    </row>
    <row r="39" spans="1:31" x14ac:dyDescent="0.3">
      <c r="A39" t="s">
        <v>43</v>
      </c>
      <c r="B39">
        <v>3</v>
      </c>
      <c r="C39">
        <v>3</v>
      </c>
      <c r="D39">
        <v>3</v>
      </c>
      <c r="E39">
        <v>2</v>
      </c>
      <c r="F39">
        <v>0.9</v>
      </c>
      <c r="G39">
        <v>0.9</v>
      </c>
      <c r="H39">
        <v>5.0000000000000001E-3</v>
      </c>
      <c r="I39">
        <v>120</v>
      </c>
      <c r="J39">
        <v>100</v>
      </c>
      <c r="K39">
        <v>1.847245</v>
      </c>
      <c r="L39">
        <v>1.284478</v>
      </c>
      <c r="M39">
        <v>83.12</v>
      </c>
      <c r="N39">
        <v>31</v>
      </c>
      <c r="O39">
        <v>69</v>
      </c>
      <c r="P39">
        <v>4.6490000000000004E-3</v>
      </c>
      <c r="Q39">
        <v>1.3953930000000001</v>
      </c>
      <c r="R39">
        <v>1.4000410000000001</v>
      </c>
      <c r="S39" t="s">
        <v>137</v>
      </c>
      <c r="T39">
        <v>0.44274999999999998</v>
      </c>
      <c r="U39">
        <v>1.7499000000000001E-2</v>
      </c>
      <c r="V39">
        <v>1.0039999999999999E-3</v>
      </c>
      <c r="W39">
        <v>6.7699999999999998E-4</v>
      </c>
      <c r="X39">
        <v>4.4530000000000004E-3</v>
      </c>
      <c r="Y39">
        <v>75.790000000000006</v>
      </c>
      <c r="Z39" t="s">
        <v>137</v>
      </c>
      <c r="AA39">
        <v>23.97</v>
      </c>
      <c r="AB39">
        <v>0.95</v>
      </c>
      <c r="AC39">
        <v>0.05</v>
      </c>
      <c r="AD39">
        <v>0.04</v>
      </c>
      <c r="AE39">
        <v>0.24</v>
      </c>
    </row>
    <row r="40" spans="1:31" x14ac:dyDescent="0.3">
      <c r="A40" t="s">
        <v>44</v>
      </c>
      <c r="B40">
        <v>3</v>
      </c>
      <c r="C40">
        <v>3</v>
      </c>
      <c r="D40">
        <v>3</v>
      </c>
      <c r="E40">
        <v>2</v>
      </c>
      <c r="F40">
        <v>0.9</v>
      </c>
      <c r="G40">
        <v>0.9</v>
      </c>
      <c r="H40">
        <v>5.0000000000000001E-3</v>
      </c>
      <c r="I40">
        <v>120</v>
      </c>
      <c r="J40">
        <v>100</v>
      </c>
      <c r="K40">
        <v>3.400658</v>
      </c>
      <c r="L40">
        <v>3.380706</v>
      </c>
      <c r="M40">
        <v>156.83000000000001</v>
      </c>
      <c r="N40">
        <v>59</v>
      </c>
      <c r="O40">
        <v>41</v>
      </c>
      <c r="P40">
        <v>4.7159999999999997E-3</v>
      </c>
      <c r="Q40">
        <v>2.392871</v>
      </c>
      <c r="R40">
        <v>2.3975870000000001</v>
      </c>
      <c r="S40" t="s">
        <v>137</v>
      </c>
      <c r="T40">
        <v>0.97840000000000005</v>
      </c>
      <c r="U40">
        <v>3.3510999999999999E-2</v>
      </c>
      <c r="V40">
        <v>1.029E-3</v>
      </c>
      <c r="W40">
        <v>1.3389999999999999E-3</v>
      </c>
      <c r="X40">
        <v>2.4670999999999998E-2</v>
      </c>
      <c r="Y40">
        <v>70.5</v>
      </c>
      <c r="Z40" t="s">
        <v>137</v>
      </c>
      <c r="AA40">
        <v>28.77</v>
      </c>
      <c r="AB40">
        <v>0.99</v>
      </c>
      <c r="AC40">
        <v>0.03</v>
      </c>
      <c r="AD40">
        <v>0.04</v>
      </c>
      <c r="AE40">
        <v>0.73</v>
      </c>
    </row>
    <row r="41" spans="1:31" x14ac:dyDescent="0.3">
      <c r="A41" t="s">
        <v>45</v>
      </c>
      <c r="B41">
        <v>3</v>
      </c>
      <c r="C41">
        <v>3</v>
      </c>
      <c r="D41">
        <v>3</v>
      </c>
      <c r="E41">
        <v>2</v>
      </c>
      <c r="F41">
        <v>0.9</v>
      </c>
      <c r="G41">
        <v>0.9</v>
      </c>
      <c r="H41">
        <v>5.0000000000000001E-3</v>
      </c>
      <c r="I41">
        <v>120</v>
      </c>
      <c r="J41">
        <v>100</v>
      </c>
      <c r="K41">
        <v>3.0432610000000002</v>
      </c>
      <c r="L41">
        <v>2.9031609999999999</v>
      </c>
      <c r="M41">
        <v>143.87</v>
      </c>
      <c r="N41">
        <v>53</v>
      </c>
      <c r="O41">
        <v>47</v>
      </c>
      <c r="P41">
        <v>4.6730000000000001E-3</v>
      </c>
      <c r="Q41">
        <v>2.1445210000000001</v>
      </c>
      <c r="R41">
        <v>2.149194</v>
      </c>
      <c r="S41" t="s">
        <v>137</v>
      </c>
      <c r="T41">
        <v>0.87330200000000002</v>
      </c>
      <c r="U41">
        <v>3.0818000000000002E-2</v>
      </c>
      <c r="V41">
        <v>1.0169999999999999E-3</v>
      </c>
      <c r="W41">
        <v>1.155E-3</v>
      </c>
      <c r="X41">
        <v>2.0766E-2</v>
      </c>
      <c r="Y41">
        <v>70.62</v>
      </c>
      <c r="Z41" t="s">
        <v>137</v>
      </c>
      <c r="AA41">
        <v>28.7</v>
      </c>
      <c r="AB41">
        <v>1.01</v>
      </c>
      <c r="AC41">
        <v>0.03</v>
      </c>
      <c r="AD41">
        <v>0.04</v>
      </c>
      <c r="AE41">
        <v>0.68</v>
      </c>
    </row>
    <row r="42" spans="1:31" x14ac:dyDescent="0.3">
      <c r="A42" t="s">
        <v>46</v>
      </c>
      <c r="B42">
        <v>3</v>
      </c>
      <c r="C42">
        <v>3</v>
      </c>
      <c r="D42">
        <v>3</v>
      </c>
      <c r="E42">
        <v>2</v>
      </c>
      <c r="F42">
        <v>0.9</v>
      </c>
      <c r="G42">
        <v>0.9</v>
      </c>
      <c r="H42">
        <v>5.0000000000000001E-3</v>
      </c>
      <c r="I42">
        <v>120</v>
      </c>
      <c r="J42">
        <v>100</v>
      </c>
      <c r="K42">
        <v>5.8384710000000002</v>
      </c>
      <c r="L42">
        <v>4.1521290000000004</v>
      </c>
      <c r="M42">
        <v>268.45999999999998</v>
      </c>
      <c r="N42">
        <v>81</v>
      </c>
      <c r="O42">
        <v>19</v>
      </c>
      <c r="P42">
        <v>4.7419999999999997E-3</v>
      </c>
      <c r="Q42">
        <v>3.9597120000000001</v>
      </c>
      <c r="R42">
        <v>3.9644539999999999</v>
      </c>
      <c r="S42" t="s">
        <v>137</v>
      </c>
      <c r="T42">
        <v>1.8241780000000001</v>
      </c>
      <c r="U42">
        <v>5.7904999999999998E-2</v>
      </c>
      <c r="V42">
        <v>1.0889999999999999E-3</v>
      </c>
      <c r="W42">
        <v>2.6710000000000002E-3</v>
      </c>
      <c r="X42">
        <v>4.9839000000000001E-2</v>
      </c>
      <c r="Y42">
        <v>67.900000000000006</v>
      </c>
      <c r="Z42" t="s">
        <v>137</v>
      </c>
      <c r="AA42">
        <v>31.24</v>
      </c>
      <c r="AB42">
        <v>0.99</v>
      </c>
      <c r="AC42">
        <v>0.02</v>
      </c>
      <c r="AD42">
        <v>0.05</v>
      </c>
      <c r="AE42">
        <v>0.85</v>
      </c>
    </row>
    <row r="43" spans="1:31" x14ac:dyDescent="0.3">
      <c r="A43" t="s">
        <v>47</v>
      </c>
      <c r="B43">
        <v>3</v>
      </c>
      <c r="C43">
        <v>3</v>
      </c>
      <c r="D43">
        <v>3</v>
      </c>
      <c r="E43">
        <v>2</v>
      </c>
      <c r="F43">
        <v>0.9</v>
      </c>
      <c r="G43">
        <v>0.9</v>
      </c>
      <c r="H43">
        <v>5.0000000000000001E-3</v>
      </c>
      <c r="I43">
        <v>120</v>
      </c>
      <c r="J43">
        <v>100</v>
      </c>
      <c r="K43">
        <v>4.6674480000000003</v>
      </c>
      <c r="L43">
        <v>4.5900670000000003</v>
      </c>
      <c r="M43">
        <v>231.32</v>
      </c>
      <c r="N43">
        <v>72</v>
      </c>
      <c r="O43">
        <v>28</v>
      </c>
      <c r="P43">
        <v>4.8900000000000002E-3</v>
      </c>
      <c r="Q43">
        <v>3.090627</v>
      </c>
      <c r="R43">
        <v>3.0955170000000001</v>
      </c>
      <c r="S43" t="s">
        <v>137</v>
      </c>
      <c r="T43">
        <v>1.53935</v>
      </c>
      <c r="U43">
        <v>4.9994999999999998E-2</v>
      </c>
      <c r="V43">
        <v>1.067E-3</v>
      </c>
      <c r="W43">
        <v>1.797E-3</v>
      </c>
      <c r="X43">
        <v>3.2579999999999998E-2</v>
      </c>
      <c r="Y43">
        <v>66.319999999999993</v>
      </c>
      <c r="Z43" t="s">
        <v>137</v>
      </c>
      <c r="AA43">
        <v>32.979999999999997</v>
      </c>
      <c r="AB43">
        <v>1.07</v>
      </c>
      <c r="AC43">
        <v>0.02</v>
      </c>
      <c r="AD43">
        <v>0.04</v>
      </c>
      <c r="AE43">
        <v>0.7</v>
      </c>
    </row>
    <row r="44" spans="1:31" x14ac:dyDescent="0.3">
      <c r="A44" t="s">
        <v>48</v>
      </c>
      <c r="B44">
        <v>3</v>
      </c>
      <c r="C44">
        <v>3</v>
      </c>
      <c r="D44">
        <v>3</v>
      </c>
      <c r="E44">
        <v>2</v>
      </c>
      <c r="F44">
        <v>0.9</v>
      </c>
      <c r="G44">
        <v>0.9</v>
      </c>
      <c r="H44">
        <v>5.0000000000000001E-3</v>
      </c>
      <c r="I44">
        <v>120</v>
      </c>
      <c r="J44">
        <v>100</v>
      </c>
      <c r="K44">
        <v>2.5966230000000001</v>
      </c>
      <c r="L44">
        <v>1.7664230000000001</v>
      </c>
      <c r="M44">
        <v>117.25</v>
      </c>
      <c r="N44">
        <v>50</v>
      </c>
      <c r="O44">
        <v>50</v>
      </c>
      <c r="P44">
        <v>4.7429999999999998E-3</v>
      </c>
      <c r="Q44">
        <v>1.921899</v>
      </c>
      <c r="R44">
        <v>1.926642</v>
      </c>
      <c r="S44" t="s">
        <v>137</v>
      </c>
      <c r="T44">
        <v>0.65883400000000003</v>
      </c>
      <c r="U44">
        <v>2.4926E-2</v>
      </c>
      <c r="V44">
        <v>9.9299999999999996E-4</v>
      </c>
      <c r="W44">
        <v>9.7199999999999999E-4</v>
      </c>
      <c r="X44">
        <v>1.1147000000000001E-2</v>
      </c>
      <c r="Y44">
        <v>74.2</v>
      </c>
      <c r="Z44" t="s">
        <v>137</v>
      </c>
      <c r="AA44">
        <v>25.37</v>
      </c>
      <c r="AB44">
        <v>0.96</v>
      </c>
      <c r="AC44">
        <v>0.04</v>
      </c>
      <c r="AD44">
        <v>0.04</v>
      </c>
      <c r="AE44">
        <v>0.43</v>
      </c>
    </row>
    <row r="45" spans="1:31" x14ac:dyDescent="0.3">
      <c r="A45" t="s">
        <v>49</v>
      </c>
      <c r="B45">
        <v>3</v>
      </c>
      <c r="C45">
        <v>3</v>
      </c>
      <c r="D45">
        <v>3</v>
      </c>
      <c r="E45">
        <v>2</v>
      </c>
      <c r="F45">
        <v>0.9</v>
      </c>
      <c r="G45">
        <v>0.9</v>
      </c>
      <c r="H45">
        <v>5.0000000000000001E-3</v>
      </c>
      <c r="I45">
        <v>120</v>
      </c>
      <c r="J45">
        <v>100</v>
      </c>
      <c r="K45">
        <v>4.8345669999999998</v>
      </c>
      <c r="L45">
        <v>3.644498</v>
      </c>
      <c r="M45">
        <v>229.31</v>
      </c>
      <c r="N45">
        <v>79</v>
      </c>
      <c r="O45">
        <v>21</v>
      </c>
      <c r="P45">
        <v>4.7489999999999997E-3</v>
      </c>
      <c r="Q45">
        <v>3.3118750000000001</v>
      </c>
      <c r="R45">
        <v>3.316624</v>
      </c>
      <c r="S45" t="s">
        <v>137</v>
      </c>
      <c r="T45">
        <v>1.4846269999999999</v>
      </c>
      <c r="U45">
        <v>4.9224999999999998E-2</v>
      </c>
      <c r="V45">
        <v>1.1150000000000001E-3</v>
      </c>
      <c r="W45">
        <v>1.9610000000000001E-3</v>
      </c>
      <c r="X45">
        <v>3.3314999999999997E-2</v>
      </c>
      <c r="Y45">
        <v>68.599999999999994</v>
      </c>
      <c r="Z45" t="s">
        <v>137</v>
      </c>
      <c r="AA45">
        <v>30.71</v>
      </c>
      <c r="AB45">
        <v>1.02</v>
      </c>
      <c r="AC45">
        <v>0.02</v>
      </c>
      <c r="AD45">
        <v>0.04</v>
      </c>
      <c r="AE45">
        <v>0.69</v>
      </c>
    </row>
    <row r="46" spans="1:31" x14ac:dyDescent="0.3">
      <c r="A46" t="s">
        <v>50</v>
      </c>
      <c r="B46">
        <v>3</v>
      </c>
      <c r="C46">
        <v>3</v>
      </c>
      <c r="D46">
        <v>3</v>
      </c>
      <c r="E46">
        <v>2</v>
      </c>
      <c r="F46">
        <v>0.9</v>
      </c>
      <c r="G46">
        <v>0.9</v>
      </c>
      <c r="H46">
        <v>5.0000000000000001E-3</v>
      </c>
      <c r="I46">
        <v>120</v>
      </c>
      <c r="J46">
        <v>100</v>
      </c>
      <c r="K46">
        <v>2.5278070000000001</v>
      </c>
      <c r="L46">
        <v>2.0008189999999999</v>
      </c>
      <c r="M46">
        <v>125.85</v>
      </c>
      <c r="N46">
        <v>51</v>
      </c>
      <c r="O46">
        <v>49</v>
      </c>
      <c r="P46">
        <v>4.9109999999999996E-3</v>
      </c>
      <c r="Q46">
        <v>1.8497110000000001</v>
      </c>
      <c r="R46">
        <v>1.854622</v>
      </c>
      <c r="S46" t="s">
        <v>137</v>
      </c>
      <c r="T46">
        <v>0.65914899999999998</v>
      </c>
      <c r="U46">
        <v>2.6835999999999999E-2</v>
      </c>
      <c r="V46">
        <v>1.0349999999999999E-3</v>
      </c>
      <c r="W46">
        <v>9.9400000000000009E-4</v>
      </c>
      <c r="X46">
        <v>1.4036E-2</v>
      </c>
      <c r="Y46">
        <v>73.37</v>
      </c>
      <c r="Z46" t="s">
        <v>137</v>
      </c>
      <c r="AA46">
        <v>26.08</v>
      </c>
      <c r="AB46">
        <v>1.06</v>
      </c>
      <c r="AC46">
        <v>0.04</v>
      </c>
      <c r="AD46">
        <v>0.04</v>
      </c>
      <c r="AE46">
        <v>0.56000000000000005</v>
      </c>
    </row>
    <row r="47" spans="1:31" x14ac:dyDescent="0.3">
      <c r="A47" t="s">
        <v>51</v>
      </c>
      <c r="B47">
        <v>3</v>
      </c>
      <c r="C47">
        <v>3</v>
      </c>
      <c r="D47">
        <v>3</v>
      </c>
      <c r="E47">
        <v>2</v>
      </c>
      <c r="F47">
        <v>0.9</v>
      </c>
      <c r="G47">
        <v>0.9</v>
      </c>
      <c r="H47">
        <v>5.0000000000000001E-3</v>
      </c>
      <c r="I47">
        <v>120</v>
      </c>
      <c r="J47">
        <v>94</v>
      </c>
      <c r="K47">
        <v>16.298977000000001</v>
      </c>
      <c r="L47">
        <v>18.444782</v>
      </c>
      <c r="M47">
        <v>752.19</v>
      </c>
      <c r="N47">
        <v>87</v>
      </c>
      <c r="O47">
        <v>7</v>
      </c>
      <c r="P47">
        <v>4.7479999999999996E-3</v>
      </c>
      <c r="Q47">
        <v>7.3771209999999998</v>
      </c>
      <c r="R47">
        <v>7.381869</v>
      </c>
      <c r="S47" t="s">
        <v>137</v>
      </c>
      <c r="T47">
        <v>8.7122019999999996</v>
      </c>
      <c r="U47">
        <v>0.16364000000000001</v>
      </c>
      <c r="V47">
        <v>1.1739999999999999E-3</v>
      </c>
      <c r="W47">
        <v>5.8129999999999996E-3</v>
      </c>
      <c r="X47">
        <v>0.204905</v>
      </c>
      <c r="Y47">
        <v>45.29</v>
      </c>
      <c r="Z47" t="s">
        <v>137</v>
      </c>
      <c r="AA47">
        <v>53.45</v>
      </c>
      <c r="AB47">
        <v>1</v>
      </c>
      <c r="AC47">
        <v>0.01</v>
      </c>
      <c r="AD47">
        <v>0.04</v>
      </c>
      <c r="AE47">
        <v>1.26</v>
      </c>
    </row>
    <row r="48" spans="1:31" x14ac:dyDescent="0.3">
      <c r="A48" t="s">
        <v>52</v>
      </c>
      <c r="B48">
        <v>3</v>
      </c>
      <c r="C48">
        <v>3</v>
      </c>
      <c r="D48">
        <v>3</v>
      </c>
      <c r="E48">
        <v>2</v>
      </c>
      <c r="F48">
        <v>0.9</v>
      </c>
      <c r="G48">
        <v>0.9</v>
      </c>
      <c r="H48">
        <v>5.0000000000000001E-3</v>
      </c>
      <c r="I48">
        <v>120</v>
      </c>
      <c r="J48">
        <v>100</v>
      </c>
      <c r="K48">
        <v>3.3397160000000001</v>
      </c>
      <c r="L48">
        <v>2.257371</v>
      </c>
      <c r="M48">
        <v>151.41</v>
      </c>
      <c r="N48">
        <v>65</v>
      </c>
      <c r="O48">
        <v>35</v>
      </c>
      <c r="P48">
        <v>4.6730000000000001E-3</v>
      </c>
      <c r="Q48">
        <v>2.4189820000000002</v>
      </c>
      <c r="R48">
        <v>2.4236550000000001</v>
      </c>
      <c r="S48" t="s">
        <v>137</v>
      </c>
      <c r="T48">
        <v>0.89891500000000002</v>
      </c>
      <c r="U48">
        <v>3.2426999999999997E-2</v>
      </c>
      <c r="V48">
        <v>1.08E-3</v>
      </c>
      <c r="W48">
        <v>1.255E-3</v>
      </c>
      <c r="X48">
        <v>1.7146000000000002E-2</v>
      </c>
      <c r="Y48">
        <v>72.569999999999993</v>
      </c>
      <c r="Z48" t="s">
        <v>137</v>
      </c>
      <c r="AA48">
        <v>26.92</v>
      </c>
      <c r="AB48">
        <v>0.97</v>
      </c>
      <c r="AC48">
        <v>0.03</v>
      </c>
      <c r="AD48">
        <v>0.04</v>
      </c>
      <c r="AE48">
        <v>0.51</v>
      </c>
    </row>
    <row r="49" spans="1:31" x14ac:dyDescent="0.3">
      <c r="A49" t="s">
        <v>53</v>
      </c>
      <c r="B49">
        <v>3</v>
      </c>
      <c r="C49">
        <v>3</v>
      </c>
      <c r="D49">
        <v>3</v>
      </c>
      <c r="E49">
        <v>2</v>
      </c>
      <c r="F49">
        <v>0.9</v>
      </c>
      <c r="G49">
        <v>0.9</v>
      </c>
      <c r="H49">
        <v>5.0000000000000001E-3</v>
      </c>
      <c r="I49">
        <v>120</v>
      </c>
      <c r="J49">
        <v>100</v>
      </c>
      <c r="K49">
        <v>3.2676050000000001</v>
      </c>
      <c r="L49">
        <v>2.9477099999999998</v>
      </c>
      <c r="M49">
        <v>144.88</v>
      </c>
      <c r="N49">
        <v>51</v>
      </c>
      <c r="O49">
        <v>49</v>
      </c>
      <c r="P49">
        <v>4.6049999999999997E-3</v>
      </c>
      <c r="Q49">
        <v>2.3174060000000001</v>
      </c>
      <c r="R49">
        <v>2.3220109999999998</v>
      </c>
      <c r="S49" t="s">
        <v>137</v>
      </c>
      <c r="T49">
        <v>0.91897200000000001</v>
      </c>
      <c r="U49">
        <v>3.0950999999999999E-2</v>
      </c>
      <c r="V49">
        <v>1.049E-3</v>
      </c>
      <c r="W49">
        <v>1.1980000000000001E-3</v>
      </c>
      <c r="X49">
        <v>2.6623000000000001E-2</v>
      </c>
      <c r="Y49">
        <v>71.06</v>
      </c>
      <c r="Z49" t="s">
        <v>137</v>
      </c>
      <c r="AA49">
        <v>28.12</v>
      </c>
      <c r="AB49">
        <v>0.95</v>
      </c>
      <c r="AC49">
        <v>0.03</v>
      </c>
      <c r="AD49">
        <v>0.04</v>
      </c>
      <c r="AE49">
        <v>0.81</v>
      </c>
    </row>
    <row r="50" spans="1:31" x14ac:dyDescent="0.3">
      <c r="A50" t="s">
        <v>54</v>
      </c>
      <c r="B50">
        <v>3</v>
      </c>
      <c r="C50">
        <v>3</v>
      </c>
      <c r="D50">
        <v>3</v>
      </c>
      <c r="E50">
        <v>2</v>
      </c>
      <c r="F50">
        <v>0.9</v>
      </c>
      <c r="G50">
        <v>0.9</v>
      </c>
      <c r="H50">
        <v>5.0000000000000001E-3</v>
      </c>
      <c r="I50">
        <v>120</v>
      </c>
      <c r="J50">
        <v>100</v>
      </c>
      <c r="K50">
        <v>3.4554879999999999</v>
      </c>
      <c r="L50">
        <v>2.7065169999999998</v>
      </c>
      <c r="M50">
        <v>155.44</v>
      </c>
      <c r="N50">
        <v>58</v>
      </c>
      <c r="O50">
        <v>42</v>
      </c>
      <c r="P50">
        <v>4.7149999999999996E-3</v>
      </c>
      <c r="Q50">
        <v>2.4662850000000001</v>
      </c>
      <c r="R50">
        <v>2.4710000000000001</v>
      </c>
      <c r="S50" t="s">
        <v>137</v>
      </c>
      <c r="T50">
        <v>0.97151299999999996</v>
      </c>
      <c r="U50">
        <v>3.3348000000000003E-2</v>
      </c>
      <c r="V50">
        <v>1.077E-3</v>
      </c>
      <c r="W50">
        <v>1.291E-3</v>
      </c>
      <c r="X50">
        <v>1.2975E-2</v>
      </c>
      <c r="Y50">
        <v>71.510000000000005</v>
      </c>
      <c r="Z50" t="s">
        <v>137</v>
      </c>
      <c r="AA50">
        <v>28.12</v>
      </c>
      <c r="AB50">
        <v>0.97</v>
      </c>
      <c r="AC50">
        <v>0.03</v>
      </c>
      <c r="AD50">
        <v>0.04</v>
      </c>
      <c r="AE50">
        <v>0.38</v>
      </c>
    </row>
    <row r="51" spans="1:31" x14ac:dyDescent="0.3">
      <c r="A51" t="s">
        <v>55</v>
      </c>
      <c r="B51">
        <v>3</v>
      </c>
      <c r="C51">
        <v>3</v>
      </c>
      <c r="D51">
        <v>3</v>
      </c>
      <c r="E51">
        <v>2</v>
      </c>
      <c r="F51">
        <v>0.9</v>
      </c>
      <c r="G51">
        <v>0.9</v>
      </c>
      <c r="H51">
        <v>5.0000000000000001E-3</v>
      </c>
      <c r="I51">
        <v>120</v>
      </c>
      <c r="J51">
        <v>100</v>
      </c>
      <c r="K51">
        <v>3.2084570000000001</v>
      </c>
      <c r="L51">
        <v>3.1270180000000001</v>
      </c>
      <c r="M51">
        <v>157.85</v>
      </c>
      <c r="N51">
        <v>57</v>
      </c>
      <c r="O51">
        <v>43</v>
      </c>
      <c r="P51">
        <v>4.7000000000000002E-3</v>
      </c>
      <c r="Q51">
        <v>2.2435659999999999</v>
      </c>
      <c r="R51">
        <v>2.2482660000000001</v>
      </c>
      <c r="S51" t="s">
        <v>137</v>
      </c>
      <c r="T51">
        <v>0.93752199999999997</v>
      </c>
      <c r="U51">
        <v>3.3776E-2</v>
      </c>
      <c r="V51">
        <v>1.1509999999999999E-3</v>
      </c>
      <c r="W51">
        <v>1.1969999999999999E-3</v>
      </c>
      <c r="X51">
        <v>2.2668000000000001E-2</v>
      </c>
      <c r="Y51">
        <v>70.069999999999993</v>
      </c>
      <c r="Z51" t="s">
        <v>137</v>
      </c>
      <c r="AA51">
        <v>29.22</v>
      </c>
      <c r="AB51">
        <v>1.05</v>
      </c>
      <c r="AC51">
        <v>0.04</v>
      </c>
      <c r="AD51">
        <v>0.04</v>
      </c>
      <c r="AE51">
        <v>0.71</v>
      </c>
    </row>
    <row r="52" spans="1:31" x14ac:dyDescent="0.3">
      <c r="A52" t="s">
        <v>56</v>
      </c>
      <c r="B52">
        <v>3</v>
      </c>
      <c r="C52">
        <v>3</v>
      </c>
      <c r="D52">
        <v>3</v>
      </c>
      <c r="E52">
        <v>2</v>
      </c>
      <c r="F52">
        <v>0.9</v>
      </c>
      <c r="G52">
        <v>0.9</v>
      </c>
      <c r="H52">
        <v>5.0000000000000001E-3</v>
      </c>
      <c r="I52">
        <v>120</v>
      </c>
      <c r="J52">
        <v>100</v>
      </c>
      <c r="K52">
        <v>2.9634420000000001</v>
      </c>
      <c r="L52">
        <v>2.4535140000000002</v>
      </c>
      <c r="M52">
        <v>133.30000000000001</v>
      </c>
      <c r="N52">
        <v>51</v>
      </c>
      <c r="O52">
        <v>49</v>
      </c>
      <c r="P52">
        <v>4.4970000000000001E-3</v>
      </c>
      <c r="Q52">
        <v>2.131532</v>
      </c>
      <c r="R52">
        <v>2.1360299999999999</v>
      </c>
      <c r="S52" t="s">
        <v>137</v>
      </c>
      <c r="T52">
        <v>0.81181899999999996</v>
      </c>
      <c r="U52">
        <v>2.8340000000000001E-2</v>
      </c>
      <c r="V52">
        <v>1.072E-3</v>
      </c>
      <c r="W52">
        <v>1.057E-3</v>
      </c>
      <c r="X52">
        <v>1.5592999999999999E-2</v>
      </c>
      <c r="Y52">
        <v>72.08</v>
      </c>
      <c r="Z52" t="s">
        <v>137</v>
      </c>
      <c r="AA52">
        <v>27.39</v>
      </c>
      <c r="AB52">
        <v>0.96</v>
      </c>
      <c r="AC52">
        <v>0.04</v>
      </c>
      <c r="AD52">
        <v>0.04</v>
      </c>
      <c r="AE52">
        <v>0.53</v>
      </c>
    </row>
    <row r="53" spans="1:31" x14ac:dyDescent="0.3">
      <c r="A53" t="s">
        <v>57</v>
      </c>
      <c r="B53">
        <v>3</v>
      </c>
      <c r="C53">
        <v>3</v>
      </c>
      <c r="D53">
        <v>3</v>
      </c>
      <c r="E53">
        <v>2</v>
      </c>
      <c r="F53">
        <v>0.9</v>
      </c>
      <c r="G53">
        <v>0.9</v>
      </c>
      <c r="H53">
        <v>5.0000000000000001E-3</v>
      </c>
      <c r="I53">
        <v>120</v>
      </c>
      <c r="J53">
        <v>100</v>
      </c>
      <c r="K53">
        <v>2.3352560000000002</v>
      </c>
      <c r="L53">
        <v>1.750613</v>
      </c>
      <c r="M53">
        <v>101.7</v>
      </c>
      <c r="N53">
        <v>39</v>
      </c>
      <c r="O53">
        <v>61</v>
      </c>
      <c r="P53">
        <v>4.6730000000000001E-3</v>
      </c>
      <c r="Q53">
        <v>1.7399290000000001</v>
      </c>
      <c r="R53">
        <v>1.744602</v>
      </c>
      <c r="S53" t="s">
        <v>137</v>
      </c>
      <c r="T53">
        <v>0.58140499999999995</v>
      </c>
      <c r="U53">
        <v>2.1729999999999999E-2</v>
      </c>
      <c r="V53">
        <v>1E-3</v>
      </c>
      <c r="W53">
        <v>8.2299999999999995E-4</v>
      </c>
      <c r="X53">
        <v>9.2490000000000003E-3</v>
      </c>
      <c r="Y53">
        <v>74.709999999999994</v>
      </c>
      <c r="Z53" t="s">
        <v>137</v>
      </c>
      <c r="AA53">
        <v>24.9</v>
      </c>
      <c r="AB53">
        <v>0.93</v>
      </c>
      <c r="AC53">
        <v>0.04</v>
      </c>
      <c r="AD53">
        <v>0.04</v>
      </c>
      <c r="AE53">
        <v>0.4</v>
      </c>
    </row>
    <row r="54" spans="1:31" x14ac:dyDescent="0.3">
      <c r="A54" t="s">
        <v>58</v>
      </c>
      <c r="B54">
        <v>3</v>
      </c>
      <c r="C54">
        <v>3</v>
      </c>
      <c r="D54">
        <v>3</v>
      </c>
      <c r="E54">
        <v>2</v>
      </c>
      <c r="F54">
        <v>0.9</v>
      </c>
      <c r="G54">
        <v>0.9</v>
      </c>
      <c r="H54">
        <v>5.0000000000000001E-3</v>
      </c>
      <c r="I54">
        <v>120</v>
      </c>
      <c r="J54">
        <v>100</v>
      </c>
      <c r="K54">
        <v>6.4453480000000001</v>
      </c>
      <c r="L54">
        <v>5.2865330000000004</v>
      </c>
      <c r="M54">
        <v>288.33999999999997</v>
      </c>
      <c r="N54">
        <v>85</v>
      </c>
      <c r="O54">
        <v>15</v>
      </c>
      <c r="P54">
        <v>4.6239999999999996E-3</v>
      </c>
      <c r="Q54">
        <v>4.2024169999999996</v>
      </c>
      <c r="R54">
        <v>4.2070410000000003</v>
      </c>
      <c r="S54" t="s">
        <v>137</v>
      </c>
      <c r="T54">
        <v>2.1890290000000001</v>
      </c>
      <c r="U54">
        <v>6.2583E-2</v>
      </c>
      <c r="V54">
        <v>1.0269999999999999E-3</v>
      </c>
      <c r="W54">
        <v>2.5079999999999998E-3</v>
      </c>
      <c r="X54">
        <v>4.9278000000000002E-2</v>
      </c>
      <c r="Y54">
        <v>65.27</v>
      </c>
      <c r="Z54" t="s">
        <v>137</v>
      </c>
      <c r="AA54">
        <v>33.96</v>
      </c>
      <c r="AB54">
        <v>0.97</v>
      </c>
      <c r="AC54">
        <v>0.02</v>
      </c>
      <c r="AD54">
        <v>0.04</v>
      </c>
      <c r="AE54">
        <v>0.76</v>
      </c>
    </row>
    <row r="55" spans="1:31" x14ac:dyDescent="0.3">
      <c r="A55" t="s">
        <v>59</v>
      </c>
      <c r="B55">
        <v>3</v>
      </c>
      <c r="C55">
        <v>3</v>
      </c>
      <c r="D55">
        <v>3</v>
      </c>
      <c r="E55">
        <v>2</v>
      </c>
      <c r="F55">
        <v>0.9</v>
      </c>
      <c r="G55">
        <v>0.9</v>
      </c>
      <c r="H55">
        <v>5.0000000000000001E-3</v>
      </c>
      <c r="I55">
        <v>120</v>
      </c>
      <c r="J55">
        <v>100</v>
      </c>
      <c r="K55">
        <v>1.245574</v>
      </c>
      <c r="L55">
        <v>0.98894700000000002</v>
      </c>
      <c r="M55">
        <v>58.62</v>
      </c>
      <c r="N55">
        <v>9</v>
      </c>
      <c r="O55">
        <v>91</v>
      </c>
      <c r="P55">
        <v>4.7280000000000004E-3</v>
      </c>
      <c r="Q55">
        <v>0.93147999999999997</v>
      </c>
      <c r="R55">
        <v>0.93620800000000004</v>
      </c>
      <c r="S55" t="s">
        <v>137</v>
      </c>
      <c r="T55">
        <v>0.30702699999999999</v>
      </c>
      <c r="U55">
        <v>1.2251E-2</v>
      </c>
      <c r="V55">
        <v>9.6000000000000002E-4</v>
      </c>
      <c r="W55">
        <v>4.3399999999999998E-4</v>
      </c>
      <c r="X55">
        <v>2.3389999999999999E-3</v>
      </c>
      <c r="Y55">
        <v>75.16</v>
      </c>
      <c r="Z55" t="s">
        <v>137</v>
      </c>
      <c r="AA55">
        <v>24.65</v>
      </c>
      <c r="AB55">
        <v>0.98</v>
      </c>
      <c r="AC55">
        <v>0.08</v>
      </c>
      <c r="AD55">
        <v>0.03</v>
      </c>
      <c r="AE55">
        <v>0.19</v>
      </c>
    </row>
    <row r="56" spans="1:31" x14ac:dyDescent="0.3">
      <c r="A56" t="s">
        <v>60</v>
      </c>
      <c r="B56">
        <v>3</v>
      </c>
      <c r="C56">
        <v>3</v>
      </c>
      <c r="D56">
        <v>3</v>
      </c>
      <c r="E56">
        <v>2</v>
      </c>
      <c r="F56">
        <v>0.9</v>
      </c>
      <c r="G56">
        <v>0.9</v>
      </c>
      <c r="H56">
        <v>5.0000000000000001E-3</v>
      </c>
      <c r="I56">
        <v>120</v>
      </c>
      <c r="J56">
        <v>100</v>
      </c>
      <c r="K56">
        <v>2.4907430000000002</v>
      </c>
      <c r="L56">
        <v>2.127275</v>
      </c>
      <c r="M56">
        <v>111.41</v>
      </c>
      <c r="N56">
        <v>41</v>
      </c>
      <c r="O56">
        <v>59</v>
      </c>
      <c r="P56">
        <v>4.6490000000000004E-3</v>
      </c>
      <c r="Q56">
        <v>1.823661</v>
      </c>
      <c r="R56">
        <v>1.8283100000000001</v>
      </c>
      <c r="S56" t="s">
        <v>137</v>
      </c>
      <c r="T56">
        <v>0.65213399999999999</v>
      </c>
      <c r="U56">
        <v>2.3799000000000001E-2</v>
      </c>
      <c r="V56">
        <v>1.0280000000000001E-3</v>
      </c>
      <c r="W56">
        <v>8.9099999999999997E-4</v>
      </c>
      <c r="X56">
        <v>1.0299000000000001E-2</v>
      </c>
      <c r="Y56">
        <v>73.400000000000006</v>
      </c>
      <c r="Z56" t="s">
        <v>137</v>
      </c>
      <c r="AA56">
        <v>26.18</v>
      </c>
      <c r="AB56">
        <v>0.96</v>
      </c>
      <c r="AC56">
        <v>0.04</v>
      </c>
      <c r="AD56">
        <v>0.04</v>
      </c>
      <c r="AE56">
        <v>0.41</v>
      </c>
    </row>
    <row r="57" spans="1:31" x14ac:dyDescent="0.3">
      <c r="A57" t="s">
        <v>61</v>
      </c>
      <c r="B57">
        <v>3</v>
      </c>
      <c r="C57">
        <v>3</v>
      </c>
      <c r="D57">
        <v>3</v>
      </c>
      <c r="E57">
        <v>2</v>
      </c>
      <c r="F57">
        <v>0.9</v>
      </c>
      <c r="G57">
        <v>0.9</v>
      </c>
      <c r="H57">
        <v>5.0000000000000001E-3</v>
      </c>
      <c r="I57">
        <v>120</v>
      </c>
      <c r="J57">
        <v>100</v>
      </c>
      <c r="K57">
        <v>1.729155</v>
      </c>
      <c r="L57">
        <v>1.325472</v>
      </c>
      <c r="M57">
        <v>80.709999999999994</v>
      </c>
      <c r="N57">
        <v>25</v>
      </c>
      <c r="O57">
        <v>75</v>
      </c>
      <c r="P57">
        <v>4.7790000000000003E-3</v>
      </c>
      <c r="Q57">
        <v>1.296441</v>
      </c>
      <c r="R57">
        <v>1.30122</v>
      </c>
      <c r="S57" t="s">
        <v>137</v>
      </c>
      <c r="T57">
        <v>0.42293399999999998</v>
      </c>
      <c r="U57">
        <v>1.7083000000000001E-2</v>
      </c>
      <c r="V57">
        <v>1.0200000000000001E-3</v>
      </c>
      <c r="W57">
        <v>6.8999999999999997E-4</v>
      </c>
      <c r="X57">
        <v>5.0010000000000002E-3</v>
      </c>
      <c r="Y57">
        <v>75.25</v>
      </c>
      <c r="Z57" t="s">
        <v>137</v>
      </c>
      <c r="AA57">
        <v>24.46</v>
      </c>
      <c r="AB57">
        <v>0.99</v>
      </c>
      <c r="AC57">
        <v>0.06</v>
      </c>
      <c r="AD57">
        <v>0.04</v>
      </c>
      <c r="AE57">
        <v>0.28999999999999998</v>
      </c>
    </row>
    <row r="58" spans="1:31" x14ac:dyDescent="0.3">
      <c r="A58" t="s">
        <v>62</v>
      </c>
      <c r="B58">
        <v>3</v>
      </c>
      <c r="C58">
        <v>3</v>
      </c>
      <c r="D58">
        <v>3</v>
      </c>
      <c r="E58">
        <v>2</v>
      </c>
      <c r="F58">
        <v>0.9</v>
      </c>
      <c r="G58">
        <v>0.9</v>
      </c>
      <c r="H58">
        <v>5.0000000000000001E-3</v>
      </c>
      <c r="I58">
        <v>120</v>
      </c>
      <c r="J58">
        <v>100</v>
      </c>
      <c r="K58">
        <v>13.179262</v>
      </c>
      <c r="L58">
        <v>14.026173</v>
      </c>
      <c r="M58">
        <v>590.9</v>
      </c>
      <c r="N58">
        <v>89</v>
      </c>
      <c r="O58">
        <v>11</v>
      </c>
      <c r="P58">
        <v>4.5560000000000002E-3</v>
      </c>
      <c r="Q58">
        <v>6.7990159999999999</v>
      </c>
      <c r="R58">
        <v>6.803572</v>
      </c>
      <c r="S58" t="s">
        <v>137</v>
      </c>
      <c r="T58">
        <v>6.2400609999999999</v>
      </c>
      <c r="U58">
        <v>0.1288</v>
      </c>
      <c r="V58">
        <v>1.1640000000000001E-3</v>
      </c>
      <c r="W58">
        <v>4.7939999999999997E-3</v>
      </c>
      <c r="X58">
        <v>0.13563</v>
      </c>
      <c r="Y58">
        <v>51.62</v>
      </c>
      <c r="Z58" t="s">
        <v>137</v>
      </c>
      <c r="AA58">
        <v>47.35</v>
      </c>
      <c r="AB58">
        <v>0.98</v>
      </c>
      <c r="AC58">
        <v>0.01</v>
      </c>
      <c r="AD58">
        <v>0.04</v>
      </c>
      <c r="AE58">
        <v>1.03</v>
      </c>
    </row>
    <row r="59" spans="1:31" x14ac:dyDescent="0.3">
      <c r="A59" t="s">
        <v>63</v>
      </c>
      <c r="B59">
        <v>3</v>
      </c>
      <c r="C59">
        <v>3</v>
      </c>
      <c r="D59">
        <v>3</v>
      </c>
      <c r="E59">
        <v>2</v>
      </c>
      <c r="F59">
        <v>0.9</v>
      </c>
      <c r="G59">
        <v>0.9</v>
      </c>
      <c r="H59">
        <v>5.0000000000000001E-3</v>
      </c>
      <c r="I59">
        <v>120</v>
      </c>
      <c r="J59">
        <v>100</v>
      </c>
      <c r="K59">
        <v>1.9432039999999999</v>
      </c>
      <c r="L59">
        <v>1.4742420000000001</v>
      </c>
      <c r="M59">
        <v>89.23</v>
      </c>
      <c r="N59">
        <v>32</v>
      </c>
      <c r="O59">
        <v>68</v>
      </c>
      <c r="P59">
        <v>4.5869999999999999E-3</v>
      </c>
      <c r="Q59">
        <v>1.4577020000000001</v>
      </c>
      <c r="R59">
        <v>1.4622889999999999</v>
      </c>
      <c r="S59" t="s">
        <v>137</v>
      </c>
      <c r="T59">
        <v>0.47504400000000002</v>
      </c>
      <c r="U59">
        <v>1.8681E-2</v>
      </c>
      <c r="V59">
        <v>9.9400000000000009E-4</v>
      </c>
      <c r="W59">
        <v>6.7900000000000002E-4</v>
      </c>
      <c r="X59">
        <v>5.8719999999999996E-3</v>
      </c>
      <c r="Y59">
        <v>75.25</v>
      </c>
      <c r="Z59" t="s">
        <v>137</v>
      </c>
      <c r="AA59">
        <v>24.45</v>
      </c>
      <c r="AB59">
        <v>0.96</v>
      </c>
      <c r="AC59">
        <v>0.05</v>
      </c>
      <c r="AD59">
        <v>0.03</v>
      </c>
      <c r="AE59">
        <v>0.3</v>
      </c>
    </row>
    <row r="60" spans="1:31" x14ac:dyDescent="0.3">
      <c r="A60" t="s">
        <v>64</v>
      </c>
      <c r="B60">
        <v>3</v>
      </c>
      <c r="C60">
        <v>3</v>
      </c>
      <c r="D60">
        <v>3</v>
      </c>
      <c r="E60">
        <v>2</v>
      </c>
      <c r="F60">
        <v>0.9</v>
      </c>
      <c r="G60">
        <v>0.9</v>
      </c>
      <c r="H60">
        <v>5.0000000000000001E-3</v>
      </c>
      <c r="I60">
        <v>120</v>
      </c>
      <c r="J60">
        <v>100</v>
      </c>
      <c r="K60">
        <v>6.5231719999999997</v>
      </c>
      <c r="L60">
        <v>6.0595090000000003</v>
      </c>
      <c r="M60">
        <v>312.54000000000002</v>
      </c>
      <c r="N60">
        <v>82</v>
      </c>
      <c r="O60">
        <v>18</v>
      </c>
      <c r="P60">
        <v>4.7629999999999999E-3</v>
      </c>
      <c r="Q60">
        <v>4.1066269999999996</v>
      </c>
      <c r="R60">
        <v>4.1113900000000001</v>
      </c>
      <c r="S60" t="s">
        <v>137</v>
      </c>
      <c r="T60">
        <v>2.3455560000000002</v>
      </c>
      <c r="U60">
        <v>6.7872000000000002E-2</v>
      </c>
      <c r="V60">
        <v>1.0889999999999999E-3</v>
      </c>
      <c r="W60">
        <v>2.5079999999999998E-3</v>
      </c>
      <c r="X60">
        <v>6.6226999999999994E-2</v>
      </c>
      <c r="Y60">
        <v>63.03</v>
      </c>
      <c r="Z60" t="s">
        <v>137</v>
      </c>
      <c r="AA60">
        <v>35.96</v>
      </c>
      <c r="AB60">
        <v>1.04</v>
      </c>
      <c r="AC60">
        <v>0.02</v>
      </c>
      <c r="AD60">
        <v>0.04</v>
      </c>
      <c r="AE60">
        <v>1.02</v>
      </c>
    </row>
    <row r="61" spans="1:31" x14ac:dyDescent="0.3">
      <c r="A61" t="s">
        <v>65</v>
      </c>
      <c r="B61">
        <v>3</v>
      </c>
      <c r="C61">
        <v>3</v>
      </c>
      <c r="D61">
        <v>3</v>
      </c>
      <c r="E61">
        <v>2</v>
      </c>
      <c r="F61">
        <v>0.9</v>
      </c>
      <c r="G61">
        <v>0.9</v>
      </c>
      <c r="H61">
        <v>5.0000000000000001E-3</v>
      </c>
      <c r="I61">
        <v>120</v>
      </c>
      <c r="J61">
        <v>100</v>
      </c>
      <c r="K61">
        <v>1.488159</v>
      </c>
      <c r="L61">
        <v>1.036651</v>
      </c>
      <c r="M61">
        <v>67.709999999999994</v>
      </c>
      <c r="N61">
        <v>20</v>
      </c>
      <c r="O61">
        <v>80</v>
      </c>
      <c r="P61">
        <v>4.6540000000000002E-3</v>
      </c>
      <c r="Q61">
        <v>1.1230770000000001</v>
      </c>
      <c r="R61">
        <v>1.1277299999999999</v>
      </c>
      <c r="S61" t="s">
        <v>137</v>
      </c>
      <c r="T61">
        <v>0.35739199999999999</v>
      </c>
      <c r="U61">
        <v>1.4225E-2</v>
      </c>
      <c r="V61">
        <v>1.024E-3</v>
      </c>
      <c r="W61">
        <v>5.7399999999999997E-4</v>
      </c>
      <c r="X61">
        <v>3.0360000000000001E-3</v>
      </c>
      <c r="Y61">
        <v>75.78</v>
      </c>
      <c r="Z61" t="s">
        <v>137</v>
      </c>
      <c r="AA61">
        <v>24.02</v>
      </c>
      <c r="AB61">
        <v>0.96</v>
      </c>
      <c r="AC61">
        <v>7.0000000000000007E-2</v>
      </c>
      <c r="AD61">
        <v>0.04</v>
      </c>
      <c r="AE61">
        <v>0.2</v>
      </c>
    </row>
    <row r="62" spans="1:31" x14ac:dyDescent="0.3">
      <c r="A62" t="s">
        <v>66</v>
      </c>
      <c r="B62">
        <v>3</v>
      </c>
      <c r="C62">
        <v>3</v>
      </c>
      <c r="D62">
        <v>3</v>
      </c>
      <c r="E62">
        <v>2</v>
      </c>
      <c r="F62">
        <v>0.9</v>
      </c>
      <c r="G62">
        <v>0.9</v>
      </c>
      <c r="H62">
        <v>5.0000000000000001E-3</v>
      </c>
      <c r="I62">
        <v>120</v>
      </c>
      <c r="J62">
        <v>100</v>
      </c>
      <c r="K62">
        <v>2.387632</v>
      </c>
      <c r="L62">
        <v>2.3618480000000002</v>
      </c>
      <c r="M62">
        <v>112.74</v>
      </c>
      <c r="N62">
        <v>39</v>
      </c>
      <c r="O62">
        <v>61</v>
      </c>
      <c r="P62">
        <v>4.7720000000000002E-3</v>
      </c>
      <c r="Q62">
        <v>1.7203040000000001</v>
      </c>
      <c r="R62">
        <v>1.725077</v>
      </c>
      <c r="S62" t="s">
        <v>137</v>
      </c>
      <c r="T62">
        <v>0.64961000000000002</v>
      </c>
      <c r="U62">
        <v>2.4035999999999998E-2</v>
      </c>
      <c r="V62">
        <v>1.098E-3</v>
      </c>
      <c r="W62">
        <v>8.9899999999999995E-4</v>
      </c>
      <c r="X62">
        <v>1.2944000000000001E-2</v>
      </c>
      <c r="Y62">
        <v>72.25</v>
      </c>
      <c r="Z62" t="s">
        <v>137</v>
      </c>
      <c r="AA62">
        <v>27.21</v>
      </c>
      <c r="AB62">
        <v>1.01</v>
      </c>
      <c r="AC62">
        <v>0.05</v>
      </c>
      <c r="AD62">
        <v>0.04</v>
      </c>
      <c r="AE62">
        <v>0.54</v>
      </c>
    </row>
    <row r="63" spans="1:31" x14ac:dyDescent="0.3">
      <c r="A63" t="s">
        <v>67</v>
      </c>
      <c r="B63">
        <v>3</v>
      </c>
      <c r="C63">
        <v>3</v>
      </c>
      <c r="D63">
        <v>3</v>
      </c>
      <c r="E63">
        <v>2</v>
      </c>
      <c r="F63">
        <v>0.9</v>
      </c>
      <c r="G63">
        <v>0.9</v>
      </c>
      <c r="H63">
        <v>5.0000000000000001E-3</v>
      </c>
      <c r="I63">
        <v>120</v>
      </c>
      <c r="J63">
        <v>100</v>
      </c>
      <c r="K63">
        <v>5.0716650000000003</v>
      </c>
      <c r="L63">
        <v>4.5542389999999999</v>
      </c>
      <c r="M63">
        <v>233.87</v>
      </c>
      <c r="N63">
        <v>75</v>
      </c>
      <c r="O63">
        <v>25</v>
      </c>
      <c r="P63">
        <v>4.7149999999999996E-3</v>
      </c>
      <c r="Q63">
        <v>3.397894</v>
      </c>
      <c r="R63">
        <v>3.402609</v>
      </c>
      <c r="S63" t="s">
        <v>137</v>
      </c>
      <c r="T63">
        <v>1.6316310000000001</v>
      </c>
      <c r="U63">
        <v>5.0606999999999999E-2</v>
      </c>
      <c r="V63">
        <v>1.06E-3</v>
      </c>
      <c r="W63">
        <v>1.9400000000000001E-3</v>
      </c>
      <c r="X63">
        <v>3.7425E-2</v>
      </c>
      <c r="Y63">
        <v>67.09</v>
      </c>
      <c r="Z63" t="s">
        <v>137</v>
      </c>
      <c r="AA63">
        <v>32.17</v>
      </c>
      <c r="AB63">
        <v>1</v>
      </c>
      <c r="AC63">
        <v>0.02</v>
      </c>
      <c r="AD63">
        <v>0.04</v>
      </c>
      <c r="AE63">
        <v>0.74</v>
      </c>
    </row>
    <row r="64" spans="1:31" x14ac:dyDescent="0.3">
      <c r="A64" t="s">
        <v>68</v>
      </c>
      <c r="B64">
        <v>3</v>
      </c>
      <c r="C64">
        <v>3</v>
      </c>
      <c r="D64">
        <v>3</v>
      </c>
      <c r="E64">
        <v>2</v>
      </c>
      <c r="F64">
        <v>0.9</v>
      </c>
      <c r="G64">
        <v>0.9</v>
      </c>
      <c r="H64">
        <v>5.0000000000000001E-3</v>
      </c>
      <c r="I64">
        <v>120</v>
      </c>
      <c r="J64">
        <v>100</v>
      </c>
      <c r="K64">
        <v>4.8896499999999996</v>
      </c>
      <c r="L64">
        <v>3.7171780000000001</v>
      </c>
      <c r="M64">
        <v>212.45</v>
      </c>
      <c r="N64">
        <v>74</v>
      </c>
      <c r="O64">
        <v>26</v>
      </c>
      <c r="P64">
        <v>4.6280000000000002E-3</v>
      </c>
      <c r="Q64">
        <v>3.3606009999999999</v>
      </c>
      <c r="R64">
        <v>3.3652289999999998</v>
      </c>
      <c r="S64" t="s">
        <v>137</v>
      </c>
      <c r="T64">
        <v>1.499009</v>
      </c>
      <c r="U64">
        <v>4.5883E-2</v>
      </c>
      <c r="V64">
        <v>1.042E-3</v>
      </c>
      <c r="W64">
        <v>1.8990000000000001E-3</v>
      </c>
      <c r="X64">
        <v>2.5412000000000001E-2</v>
      </c>
      <c r="Y64">
        <v>68.819999999999993</v>
      </c>
      <c r="Z64" t="s">
        <v>137</v>
      </c>
      <c r="AA64">
        <v>30.66</v>
      </c>
      <c r="AB64">
        <v>0.94</v>
      </c>
      <c r="AC64">
        <v>0.02</v>
      </c>
      <c r="AD64">
        <v>0.04</v>
      </c>
      <c r="AE64">
        <v>0.52</v>
      </c>
    </row>
    <row r="65" spans="1:31" x14ac:dyDescent="0.3">
      <c r="A65" t="s">
        <v>69</v>
      </c>
      <c r="B65">
        <v>3</v>
      </c>
      <c r="C65">
        <v>3</v>
      </c>
      <c r="D65">
        <v>3</v>
      </c>
      <c r="E65">
        <v>2</v>
      </c>
      <c r="F65">
        <v>0.9</v>
      </c>
      <c r="G65">
        <v>0.9</v>
      </c>
      <c r="H65">
        <v>5.0000000000000001E-3</v>
      </c>
      <c r="I65">
        <v>120</v>
      </c>
      <c r="J65">
        <v>100</v>
      </c>
      <c r="K65">
        <v>1.917022</v>
      </c>
      <c r="L65">
        <v>1.3648020000000001</v>
      </c>
      <c r="M65">
        <v>87.33</v>
      </c>
      <c r="N65">
        <v>30</v>
      </c>
      <c r="O65">
        <v>70</v>
      </c>
      <c r="P65">
        <v>4.6889999999999996E-3</v>
      </c>
      <c r="Q65">
        <v>1.4340189999999999</v>
      </c>
      <c r="R65">
        <v>1.438709</v>
      </c>
      <c r="S65" t="s">
        <v>137</v>
      </c>
      <c r="T65">
        <v>0.468694</v>
      </c>
      <c r="U65">
        <v>1.8454000000000002E-2</v>
      </c>
      <c r="V65">
        <v>1.07E-3</v>
      </c>
      <c r="W65">
        <v>7.18E-4</v>
      </c>
      <c r="X65">
        <v>9.6190000000000008E-3</v>
      </c>
      <c r="Y65">
        <v>75.05</v>
      </c>
      <c r="Z65" t="s">
        <v>137</v>
      </c>
      <c r="AA65">
        <v>24.45</v>
      </c>
      <c r="AB65">
        <v>0.96</v>
      </c>
      <c r="AC65">
        <v>0.06</v>
      </c>
      <c r="AD65">
        <v>0.04</v>
      </c>
      <c r="AE65">
        <v>0.5</v>
      </c>
    </row>
    <row r="66" spans="1:31" x14ac:dyDescent="0.3">
      <c r="A66" t="s">
        <v>70</v>
      </c>
      <c r="B66">
        <v>3</v>
      </c>
      <c r="C66">
        <v>3</v>
      </c>
      <c r="D66">
        <v>3</v>
      </c>
      <c r="E66">
        <v>2</v>
      </c>
      <c r="F66">
        <v>0.9</v>
      </c>
      <c r="G66">
        <v>0.9</v>
      </c>
      <c r="H66">
        <v>5.0000000000000001E-3</v>
      </c>
      <c r="I66">
        <v>120</v>
      </c>
      <c r="J66">
        <v>100</v>
      </c>
      <c r="K66">
        <v>1.6681060000000001</v>
      </c>
      <c r="L66">
        <v>1.427465</v>
      </c>
      <c r="M66">
        <v>79.959999999999994</v>
      </c>
      <c r="N66">
        <v>22</v>
      </c>
      <c r="O66">
        <v>78</v>
      </c>
      <c r="P66">
        <v>4.6519999999999999E-3</v>
      </c>
      <c r="Q66">
        <v>1.238639</v>
      </c>
      <c r="R66">
        <v>1.2432920000000001</v>
      </c>
      <c r="S66" t="s">
        <v>137</v>
      </c>
      <c r="T66">
        <v>0.419848</v>
      </c>
      <c r="U66">
        <v>1.6854999999999998E-2</v>
      </c>
      <c r="V66">
        <v>1.029E-3</v>
      </c>
      <c r="W66">
        <v>6.6500000000000001E-4</v>
      </c>
      <c r="X66">
        <v>4.9670000000000001E-3</v>
      </c>
      <c r="Y66">
        <v>74.53</v>
      </c>
      <c r="Z66" t="s">
        <v>137</v>
      </c>
      <c r="AA66">
        <v>25.17</v>
      </c>
      <c r="AB66">
        <v>1.01</v>
      </c>
      <c r="AC66">
        <v>0.06</v>
      </c>
      <c r="AD66">
        <v>0.04</v>
      </c>
      <c r="AE66">
        <v>0.3</v>
      </c>
    </row>
    <row r="67" spans="1:31" x14ac:dyDescent="0.3">
      <c r="A67" t="s">
        <v>71</v>
      </c>
      <c r="B67">
        <v>3</v>
      </c>
      <c r="C67">
        <v>3</v>
      </c>
      <c r="D67">
        <v>3</v>
      </c>
      <c r="E67">
        <v>2</v>
      </c>
      <c r="F67">
        <v>0.9</v>
      </c>
      <c r="G67">
        <v>0.9</v>
      </c>
      <c r="H67">
        <v>5.0000000000000001E-3</v>
      </c>
      <c r="I67">
        <v>120</v>
      </c>
      <c r="J67">
        <v>100</v>
      </c>
      <c r="K67">
        <v>5.604781</v>
      </c>
      <c r="L67">
        <v>4.9118620000000002</v>
      </c>
      <c r="M67">
        <v>247.71</v>
      </c>
      <c r="N67">
        <v>85</v>
      </c>
      <c r="O67">
        <v>15</v>
      </c>
      <c r="P67">
        <v>4.5659999999999997E-3</v>
      </c>
      <c r="Q67">
        <v>3.7533240000000001</v>
      </c>
      <c r="R67">
        <v>3.7578900000000002</v>
      </c>
      <c r="S67" t="s">
        <v>137</v>
      </c>
      <c r="T67">
        <v>1.807682</v>
      </c>
      <c r="U67">
        <v>5.357E-2</v>
      </c>
      <c r="V67">
        <v>1.1640000000000001E-3</v>
      </c>
      <c r="W67">
        <v>2.2430000000000002E-3</v>
      </c>
      <c r="X67">
        <v>3.9209000000000001E-2</v>
      </c>
      <c r="Y67">
        <v>67.05</v>
      </c>
      <c r="Z67" t="s">
        <v>137</v>
      </c>
      <c r="AA67">
        <v>32.25</v>
      </c>
      <c r="AB67">
        <v>0.96</v>
      </c>
      <c r="AC67">
        <v>0.02</v>
      </c>
      <c r="AD67">
        <v>0.04</v>
      </c>
      <c r="AE67">
        <v>0.7</v>
      </c>
    </row>
    <row r="68" spans="1:31" x14ac:dyDescent="0.3">
      <c r="A68" t="s">
        <v>72</v>
      </c>
      <c r="B68">
        <v>3</v>
      </c>
      <c r="C68">
        <v>3</v>
      </c>
      <c r="D68">
        <v>3</v>
      </c>
      <c r="E68">
        <v>2</v>
      </c>
      <c r="F68">
        <v>0.9</v>
      </c>
      <c r="G68">
        <v>0.9</v>
      </c>
      <c r="H68">
        <v>5.0000000000000001E-3</v>
      </c>
      <c r="I68">
        <v>120</v>
      </c>
      <c r="J68">
        <v>100</v>
      </c>
      <c r="K68">
        <v>3.3642530000000002</v>
      </c>
      <c r="L68">
        <v>2.405408</v>
      </c>
      <c r="M68">
        <v>150.75</v>
      </c>
      <c r="N68">
        <v>53</v>
      </c>
      <c r="O68">
        <v>47</v>
      </c>
      <c r="P68">
        <v>4.6369999999999996E-3</v>
      </c>
      <c r="Q68">
        <v>2.4224250000000001</v>
      </c>
      <c r="R68">
        <v>2.4270619999999998</v>
      </c>
      <c r="S68" t="s">
        <v>137</v>
      </c>
      <c r="T68">
        <v>0.92214300000000005</v>
      </c>
      <c r="U68">
        <v>3.2547E-2</v>
      </c>
      <c r="V68">
        <v>1.0070000000000001E-3</v>
      </c>
      <c r="W68">
        <v>1.3320000000000001E-3</v>
      </c>
      <c r="X68">
        <v>1.5047E-2</v>
      </c>
      <c r="Y68">
        <v>72.14</v>
      </c>
      <c r="Z68" t="s">
        <v>137</v>
      </c>
      <c r="AA68">
        <v>27.41</v>
      </c>
      <c r="AB68">
        <v>0.97</v>
      </c>
      <c r="AC68">
        <v>0.03</v>
      </c>
      <c r="AD68">
        <v>0.04</v>
      </c>
      <c r="AE68">
        <v>0.45</v>
      </c>
    </row>
    <row r="69" spans="1:31" x14ac:dyDescent="0.3">
      <c r="A69" t="s">
        <v>73</v>
      </c>
      <c r="B69">
        <v>3</v>
      </c>
      <c r="C69">
        <v>3</v>
      </c>
      <c r="D69">
        <v>3</v>
      </c>
      <c r="E69">
        <v>2</v>
      </c>
      <c r="F69">
        <v>0.9</v>
      </c>
      <c r="G69">
        <v>0.9</v>
      </c>
      <c r="H69">
        <v>5.0000000000000001E-3</v>
      </c>
      <c r="I69">
        <v>120</v>
      </c>
      <c r="J69">
        <v>100</v>
      </c>
      <c r="K69">
        <v>1.2439899999999999</v>
      </c>
      <c r="L69">
        <v>0.82345900000000005</v>
      </c>
      <c r="M69">
        <v>60.29</v>
      </c>
      <c r="N69">
        <v>12</v>
      </c>
      <c r="O69">
        <v>88</v>
      </c>
      <c r="P69">
        <v>4.8009999999999997E-3</v>
      </c>
      <c r="Q69">
        <v>0.935778</v>
      </c>
      <c r="R69">
        <v>0.94057900000000005</v>
      </c>
      <c r="S69" t="s">
        <v>137</v>
      </c>
      <c r="T69">
        <v>0.29971399999999998</v>
      </c>
      <c r="U69">
        <v>1.2635E-2</v>
      </c>
      <c r="V69">
        <v>9.5399999999999999E-4</v>
      </c>
      <c r="W69">
        <v>4.8899999999999996E-4</v>
      </c>
      <c r="X69">
        <v>3.6979999999999999E-3</v>
      </c>
      <c r="Y69">
        <v>75.61</v>
      </c>
      <c r="Z69" t="s">
        <v>137</v>
      </c>
      <c r="AA69">
        <v>24.09</v>
      </c>
      <c r="AB69">
        <v>1.02</v>
      </c>
      <c r="AC69">
        <v>0.08</v>
      </c>
      <c r="AD69">
        <v>0.04</v>
      </c>
      <c r="AE69">
        <v>0.3</v>
      </c>
    </row>
    <row r="70" spans="1:31" x14ac:dyDescent="0.3">
      <c r="A70" t="s">
        <v>74</v>
      </c>
      <c r="B70">
        <v>3</v>
      </c>
      <c r="C70">
        <v>3</v>
      </c>
      <c r="D70">
        <v>3</v>
      </c>
      <c r="E70">
        <v>2</v>
      </c>
      <c r="F70">
        <v>0.9</v>
      </c>
      <c r="G70">
        <v>0.9</v>
      </c>
      <c r="H70">
        <v>5.0000000000000001E-3</v>
      </c>
      <c r="I70">
        <v>120</v>
      </c>
      <c r="J70">
        <v>100</v>
      </c>
      <c r="K70">
        <v>6.0317340000000002</v>
      </c>
      <c r="L70">
        <v>4.2816749999999999</v>
      </c>
      <c r="M70">
        <v>277.41000000000003</v>
      </c>
      <c r="N70">
        <v>87</v>
      </c>
      <c r="O70">
        <v>13</v>
      </c>
      <c r="P70">
        <v>4.7479999999999996E-3</v>
      </c>
      <c r="Q70">
        <v>4.0429950000000003</v>
      </c>
      <c r="R70">
        <v>4.0477429999999996</v>
      </c>
      <c r="S70" t="s">
        <v>137</v>
      </c>
      <c r="T70">
        <v>1.93547</v>
      </c>
      <c r="U70">
        <v>6.0371000000000001E-2</v>
      </c>
      <c r="V70">
        <v>1.114E-3</v>
      </c>
      <c r="W70">
        <v>2.2169999999999998E-3</v>
      </c>
      <c r="X70">
        <v>4.8521000000000002E-2</v>
      </c>
      <c r="Y70">
        <v>67.11</v>
      </c>
      <c r="Z70" t="s">
        <v>137</v>
      </c>
      <c r="AA70">
        <v>32.090000000000003</v>
      </c>
      <c r="AB70">
        <v>1</v>
      </c>
      <c r="AC70">
        <v>0.02</v>
      </c>
      <c r="AD70">
        <v>0.04</v>
      </c>
      <c r="AE70">
        <v>0.8</v>
      </c>
    </row>
    <row r="71" spans="1:31" x14ac:dyDescent="0.3">
      <c r="A71" t="s">
        <v>75</v>
      </c>
      <c r="B71">
        <v>3</v>
      </c>
      <c r="C71">
        <v>3</v>
      </c>
      <c r="D71">
        <v>3</v>
      </c>
      <c r="E71">
        <v>2</v>
      </c>
      <c r="F71">
        <v>0.9</v>
      </c>
      <c r="G71">
        <v>0.9</v>
      </c>
      <c r="H71">
        <v>5.0000000000000001E-3</v>
      </c>
      <c r="I71">
        <v>120</v>
      </c>
      <c r="J71">
        <v>99</v>
      </c>
      <c r="K71">
        <v>10.537864000000001</v>
      </c>
      <c r="L71">
        <v>14.702876</v>
      </c>
      <c r="M71">
        <v>487.34</v>
      </c>
      <c r="N71">
        <v>84</v>
      </c>
      <c r="O71">
        <v>15</v>
      </c>
      <c r="P71">
        <v>4.7730000000000003E-3</v>
      </c>
      <c r="Q71">
        <v>5.3708260000000001</v>
      </c>
      <c r="R71">
        <v>5.3755990000000002</v>
      </c>
      <c r="S71" t="s">
        <v>137</v>
      </c>
      <c r="T71">
        <v>5.0568900000000001</v>
      </c>
      <c r="U71">
        <v>0.106674</v>
      </c>
      <c r="V71">
        <v>1.1659999999999999E-3</v>
      </c>
      <c r="W71">
        <v>3.774E-3</v>
      </c>
      <c r="X71">
        <v>0.105375</v>
      </c>
      <c r="Y71">
        <v>51.01</v>
      </c>
      <c r="Z71" t="s">
        <v>137</v>
      </c>
      <c r="AA71">
        <v>47.99</v>
      </c>
      <c r="AB71">
        <v>1.01</v>
      </c>
      <c r="AC71">
        <v>0.01</v>
      </c>
      <c r="AD71">
        <v>0.04</v>
      </c>
      <c r="AE71">
        <v>1</v>
      </c>
    </row>
    <row r="72" spans="1:31" x14ac:dyDescent="0.3">
      <c r="A72" t="s">
        <v>76</v>
      </c>
      <c r="B72">
        <v>3</v>
      </c>
      <c r="C72">
        <v>3</v>
      </c>
      <c r="D72">
        <v>3</v>
      </c>
      <c r="E72">
        <v>2</v>
      </c>
      <c r="F72">
        <v>0.9</v>
      </c>
      <c r="G72">
        <v>0.9</v>
      </c>
      <c r="H72">
        <v>5.0000000000000001E-3</v>
      </c>
      <c r="I72">
        <v>120</v>
      </c>
      <c r="J72">
        <v>100</v>
      </c>
      <c r="K72">
        <v>1.6675469999999999</v>
      </c>
      <c r="L72">
        <v>1.4379440000000001</v>
      </c>
      <c r="M72">
        <v>73.599999999999994</v>
      </c>
      <c r="N72">
        <v>19</v>
      </c>
      <c r="O72">
        <v>81</v>
      </c>
      <c r="P72">
        <v>4.679E-3</v>
      </c>
      <c r="Q72">
        <v>1.255371</v>
      </c>
      <c r="R72">
        <v>1.2600499999999999</v>
      </c>
      <c r="S72" t="s">
        <v>137</v>
      </c>
      <c r="T72">
        <v>0.403615</v>
      </c>
      <c r="U72">
        <v>1.559E-2</v>
      </c>
      <c r="V72">
        <v>9.7099999999999997E-4</v>
      </c>
      <c r="W72">
        <v>5.9400000000000002E-4</v>
      </c>
      <c r="X72">
        <v>3.882E-3</v>
      </c>
      <c r="Y72">
        <v>75.56</v>
      </c>
      <c r="Z72" t="s">
        <v>137</v>
      </c>
      <c r="AA72">
        <v>24.2</v>
      </c>
      <c r="AB72">
        <v>0.93</v>
      </c>
      <c r="AC72">
        <v>0.06</v>
      </c>
      <c r="AD72">
        <v>0.04</v>
      </c>
      <c r="AE72">
        <v>0.23</v>
      </c>
    </row>
    <row r="73" spans="1:31" x14ac:dyDescent="0.3">
      <c r="A73" t="s">
        <v>77</v>
      </c>
      <c r="B73">
        <v>3</v>
      </c>
      <c r="C73">
        <v>3</v>
      </c>
      <c r="D73">
        <v>3</v>
      </c>
      <c r="E73">
        <v>2</v>
      </c>
      <c r="F73">
        <v>0.9</v>
      </c>
      <c r="G73">
        <v>0.9</v>
      </c>
      <c r="H73">
        <v>5.0000000000000001E-3</v>
      </c>
      <c r="I73">
        <v>120</v>
      </c>
      <c r="J73">
        <v>72</v>
      </c>
      <c r="K73">
        <v>29.498277999999999</v>
      </c>
      <c r="L73">
        <v>30.333314999999999</v>
      </c>
      <c r="M73">
        <v>1443.42</v>
      </c>
      <c r="N73">
        <v>69</v>
      </c>
      <c r="O73">
        <v>3</v>
      </c>
      <c r="P73">
        <v>4.751E-3</v>
      </c>
      <c r="Q73">
        <v>9.6258440000000007</v>
      </c>
      <c r="R73">
        <v>9.6305949999999996</v>
      </c>
      <c r="S73" t="s">
        <v>137</v>
      </c>
      <c r="T73">
        <v>19.414189</v>
      </c>
      <c r="U73">
        <v>0.31258799999999998</v>
      </c>
      <c r="V73">
        <v>1.2179999999999999E-3</v>
      </c>
      <c r="W73">
        <v>1.0507000000000001E-2</v>
      </c>
      <c r="X73">
        <v>0.45349299999999998</v>
      </c>
      <c r="Y73">
        <v>32.65</v>
      </c>
      <c r="Z73" t="s">
        <v>137</v>
      </c>
      <c r="AA73">
        <v>65.81</v>
      </c>
      <c r="AB73">
        <v>1.06</v>
      </c>
      <c r="AC73">
        <v>0</v>
      </c>
      <c r="AD73">
        <v>0.04</v>
      </c>
      <c r="AE73">
        <v>1.54</v>
      </c>
    </row>
    <row r="74" spans="1:31" x14ac:dyDescent="0.3">
      <c r="A74" t="s">
        <v>78</v>
      </c>
      <c r="B74">
        <v>3</v>
      </c>
      <c r="C74">
        <v>3</v>
      </c>
      <c r="D74">
        <v>3</v>
      </c>
      <c r="E74">
        <v>2</v>
      </c>
      <c r="F74">
        <v>0.9</v>
      </c>
      <c r="G74">
        <v>0.9</v>
      </c>
      <c r="H74">
        <v>5.0000000000000001E-3</v>
      </c>
      <c r="I74">
        <v>120</v>
      </c>
      <c r="J74">
        <v>100</v>
      </c>
      <c r="K74">
        <v>2.4772240000000001</v>
      </c>
      <c r="L74">
        <v>2.2985549999999999</v>
      </c>
      <c r="M74">
        <v>116.53</v>
      </c>
      <c r="N74">
        <v>39</v>
      </c>
      <c r="O74">
        <v>61</v>
      </c>
      <c r="P74">
        <v>4.7359999999999998E-3</v>
      </c>
      <c r="Q74">
        <v>1.8000480000000001</v>
      </c>
      <c r="R74">
        <v>1.8047839999999999</v>
      </c>
      <c r="S74" t="s">
        <v>137</v>
      </c>
      <c r="T74">
        <v>0.65805999999999998</v>
      </c>
      <c r="U74">
        <v>2.4716999999999999E-2</v>
      </c>
      <c r="V74">
        <v>9.4399999999999996E-4</v>
      </c>
      <c r="W74">
        <v>1.0380000000000001E-3</v>
      </c>
      <c r="X74">
        <v>1.438E-2</v>
      </c>
      <c r="Y74">
        <v>72.86</v>
      </c>
      <c r="Z74" t="s">
        <v>137</v>
      </c>
      <c r="AA74">
        <v>26.56</v>
      </c>
      <c r="AB74">
        <v>1</v>
      </c>
      <c r="AC74">
        <v>0.04</v>
      </c>
      <c r="AD74">
        <v>0.04</v>
      </c>
      <c r="AE74">
        <v>0.57999999999999996</v>
      </c>
    </row>
    <row r="75" spans="1:31" x14ac:dyDescent="0.3">
      <c r="A75" t="s">
        <v>79</v>
      </c>
      <c r="B75">
        <v>3</v>
      </c>
      <c r="C75">
        <v>3</v>
      </c>
      <c r="D75">
        <v>3</v>
      </c>
      <c r="E75">
        <v>2</v>
      </c>
      <c r="F75">
        <v>0.9</v>
      </c>
      <c r="G75">
        <v>0.9</v>
      </c>
      <c r="H75">
        <v>5.0000000000000001E-3</v>
      </c>
      <c r="I75">
        <v>120</v>
      </c>
      <c r="J75">
        <v>100</v>
      </c>
      <c r="K75">
        <v>0.34357100000000002</v>
      </c>
      <c r="L75">
        <v>0.63483199999999995</v>
      </c>
      <c r="M75">
        <v>23.98</v>
      </c>
      <c r="N75">
        <v>1</v>
      </c>
      <c r="O75">
        <v>99</v>
      </c>
      <c r="P75">
        <v>5.2110000000000004E-3</v>
      </c>
      <c r="Q75">
        <v>0.23792099999999999</v>
      </c>
      <c r="R75">
        <v>0.24313199999999999</v>
      </c>
      <c r="S75" t="s">
        <v>137</v>
      </c>
      <c r="T75">
        <v>0.100118</v>
      </c>
      <c r="U75">
        <v>4.607E-3</v>
      </c>
      <c r="V75">
        <v>1.008E-3</v>
      </c>
      <c r="W75">
        <v>1.44E-4</v>
      </c>
      <c r="X75">
        <v>3.21E-4</v>
      </c>
      <c r="Y75">
        <v>70.77</v>
      </c>
      <c r="Z75" t="s">
        <v>137</v>
      </c>
      <c r="AA75">
        <v>29.14</v>
      </c>
      <c r="AB75">
        <v>1.34</v>
      </c>
      <c r="AC75">
        <v>0.28999999999999998</v>
      </c>
      <c r="AD75">
        <v>0.04</v>
      </c>
      <c r="AE75">
        <v>0.09</v>
      </c>
    </row>
    <row r="76" spans="1:31" x14ac:dyDescent="0.3">
      <c r="A76" t="s">
        <v>80</v>
      </c>
      <c r="B76">
        <v>3</v>
      </c>
      <c r="C76">
        <v>3</v>
      </c>
      <c r="D76">
        <v>3</v>
      </c>
      <c r="E76">
        <v>2</v>
      </c>
      <c r="F76">
        <v>0.9</v>
      </c>
      <c r="G76">
        <v>0.9</v>
      </c>
      <c r="H76">
        <v>5.0000000000000001E-3</v>
      </c>
      <c r="I76">
        <v>120</v>
      </c>
      <c r="J76">
        <v>100</v>
      </c>
      <c r="K76">
        <v>0.16772999999999999</v>
      </c>
      <c r="L76">
        <v>0.21821299999999999</v>
      </c>
      <c r="M76">
        <v>13.35</v>
      </c>
      <c r="N76">
        <v>1</v>
      </c>
      <c r="O76">
        <v>99</v>
      </c>
      <c r="P76">
        <v>5.4590000000000003E-3</v>
      </c>
      <c r="Q76">
        <v>0.111038</v>
      </c>
      <c r="R76">
        <v>0.116497</v>
      </c>
      <c r="S76" t="s">
        <v>137</v>
      </c>
      <c r="T76">
        <v>5.0939999999999999E-2</v>
      </c>
      <c r="U76">
        <v>2.4689999999999998E-3</v>
      </c>
      <c r="V76">
        <v>6.4300000000000002E-4</v>
      </c>
      <c r="W76">
        <v>8.2000000000000001E-5</v>
      </c>
      <c r="X76">
        <v>2.9300000000000002E-4</v>
      </c>
      <c r="Y76">
        <v>69.45</v>
      </c>
      <c r="Z76" t="s">
        <v>137</v>
      </c>
      <c r="AA76">
        <v>30.37</v>
      </c>
      <c r="AB76">
        <v>1.47</v>
      </c>
      <c r="AC76">
        <v>0.38</v>
      </c>
      <c r="AD76">
        <v>0.05</v>
      </c>
      <c r="AE76">
        <v>0.17</v>
      </c>
    </row>
    <row r="77" spans="1:31" x14ac:dyDescent="0.3">
      <c r="A77" t="s">
        <v>81</v>
      </c>
      <c r="B77">
        <v>3</v>
      </c>
      <c r="C77">
        <v>3</v>
      </c>
      <c r="D77">
        <v>3</v>
      </c>
      <c r="E77">
        <v>2</v>
      </c>
      <c r="F77">
        <v>0.9</v>
      </c>
      <c r="G77">
        <v>0.9</v>
      </c>
      <c r="H77">
        <v>5.0000000000000001E-3</v>
      </c>
      <c r="I77">
        <v>120</v>
      </c>
      <c r="J77">
        <v>100</v>
      </c>
      <c r="K77">
        <v>0.32012000000000002</v>
      </c>
      <c r="L77">
        <v>0.347273</v>
      </c>
      <c r="M77">
        <v>27.29</v>
      </c>
      <c r="N77">
        <v>5</v>
      </c>
      <c r="O77">
        <v>95</v>
      </c>
      <c r="P77">
        <v>5.45E-3</v>
      </c>
      <c r="Q77">
        <v>0.22265699999999999</v>
      </c>
      <c r="R77">
        <v>0.228107</v>
      </c>
      <c r="S77" t="s">
        <v>137</v>
      </c>
      <c r="T77">
        <v>9.1252E-2</v>
      </c>
      <c r="U77">
        <v>5.5100000000000001E-3</v>
      </c>
      <c r="V77">
        <v>6.6500000000000001E-4</v>
      </c>
      <c r="W77">
        <v>1.73E-4</v>
      </c>
      <c r="X77">
        <v>7.6099999999999996E-4</v>
      </c>
      <c r="Y77">
        <v>71.260000000000005</v>
      </c>
      <c r="Z77" t="s">
        <v>137</v>
      </c>
      <c r="AA77">
        <v>28.51</v>
      </c>
      <c r="AB77">
        <v>1.72</v>
      </c>
      <c r="AC77">
        <v>0.21</v>
      </c>
      <c r="AD77">
        <v>0.05</v>
      </c>
      <c r="AE77">
        <v>0.24</v>
      </c>
    </row>
    <row r="78" spans="1:31" x14ac:dyDescent="0.3">
      <c r="A78" t="s">
        <v>82</v>
      </c>
      <c r="B78">
        <v>3</v>
      </c>
      <c r="C78">
        <v>3</v>
      </c>
      <c r="D78">
        <v>3</v>
      </c>
      <c r="E78">
        <v>2</v>
      </c>
      <c r="F78">
        <v>0.9</v>
      </c>
      <c r="G78">
        <v>0.9</v>
      </c>
      <c r="H78">
        <v>5.0000000000000001E-3</v>
      </c>
      <c r="I78">
        <v>120</v>
      </c>
      <c r="J78">
        <v>100</v>
      </c>
      <c r="K78">
        <v>0.20231099999999999</v>
      </c>
      <c r="L78">
        <v>0.14605699999999999</v>
      </c>
      <c r="M78">
        <v>14.08</v>
      </c>
      <c r="N78">
        <v>0</v>
      </c>
      <c r="O78">
        <v>100</v>
      </c>
      <c r="P78">
        <v>5.0980000000000001E-3</v>
      </c>
      <c r="Q78">
        <v>0.137102</v>
      </c>
      <c r="R78">
        <v>0.14219899999999999</v>
      </c>
      <c r="S78" t="s">
        <v>137</v>
      </c>
      <c r="T78">
        <v>6.0110999999999998E-2</v>
      </c>
      <c r="U78">
        <v>2.4819999999999998E-3</v>
      </c>
      <c r="V78">
        <v>9.0700000000000004E-4</v>
      </c>
      <c r="W78">
        <v>7.8999999999999996E-5</v>
      </c>
      <c r="X78">
        <v>0</v>
      </c>
      <c r="Y78">
        <v>70.290000000000006</v>
      </c>
      <c r="Z78" t="s">
        <v>137</v>
      </c>
      <c r="AA78">
        <v>29.71</v>
      </c>
      <c r="AB78">
        <v>1.23</v>
      </c>
      <c r="AC78">
        <v>0.45</v>
      </c>
      <c r="AD78">
        <v>0.04</v>
      </c>
      <c r="AE78">
        <v>0</v>
      </c>
    </row>
    <row r="79" spans="1:31" x14ac:dyDescent="0.3">
      <c r="A79" t="s">
        <v>83</v>
      </c>
      <c r="B79">
        <v>3</v>
      </c>
      <c r="C79">
        <v>3</v>
      </c>
      <c r="D79">
        <v>3</v>
      </c>
      <c r="E79">
        <v>2</v>
      </c>
      <c r="F79">
        <v>0.9</v>
      </c>
      <c r="G79">
        <v>0.9</v>
      </c>
      <c r="H79">
        <v>5.0000000000000001E-3</v>
      </c>
      <c r="I79">
        <v>120</v>
      </c>
      <c r="J79">
        <v>100</v>
      </c>
      <c r="K79">
        <v>0.47274100000000002</v>
      </c>
      <c r="L79">
        <v>0.58611800000000003</v>
      </c>
      <c r="M79">
        <v>36.72</v>
      </c>
      <c r="N79">
        <v>2</v>
      </c>
      <c r="O79">
        <v>98</v>
      </c>
      <c r="P79">
        <v>5.4739999999999997E-3</v>
      </c>
      <c r="Q79">
        <v>0.33307300000000001</v>
      </c>
      <c r="R79">
        <v>0.33854600000000001</v>
      </c>
      <c r="S79" t="s">
        <v>137</v>
      </c>
      <c r="T79">
        <v>0.13383800000000001</v>
      </c>
      <c r="U79">
        <v>7.4590000000000004E-3</v>
      </c>
      <c r="V79">
        <v>8.5300000000000003E-4</v>
      </c>
      <c r="W79">
        <v>2.4499999999999999E-4</v>
      </c>
      <c r="X79">
        <v>3.57E-4</v>
      </c>
      <c r="Y79">
        <v>71.61</v>
      </c>
      <c r="Z79" t="s">
        <v>137</v>
      </c>
      <c r="AA79">
        <v>28.31</v>
      </c>
      <c r="AB79">
        <v>1.58</v>
      </c>
      <c r="AC79">
        <v>0.18</v>
      </c>
      <c r="AD79">
        <v>0.05</v>
      </c>
      <c r="AE79">
        <v>0.08</v>
      </c>
    </row>
    <row r="80" spans="1:31" x14ac:dyDescent="0.3">
      <c r="A80" t="s">
        <v>84</v>
      </c>
      <c r="B80">
        <v>3</v>
      </c>
      <c r="C80">
        <v>3</v>
      </c>
      <c r="D80">
        <v>3</v>
      </c>
      <c r="E80">
        <v>2</v>
      </c>
      <c r="F80">
        <v>0.9</v>
      </c>
      <c r="G80">
        <v>0.9</v>
      </c>
      <c r="H80">
        <v>5.0000000000000001E-3</v>
      </c>
      <c r="I80">
        <v>120</v>
      </c>
      <c r="J80">
        <v>100</v>
      </c>
      <c r="K80">
        <v>6.4753759999999998</v>
      </c>
      <c r="L80">
        <v>13.0961</v>
      </c>
      <c r="M80">
        <v>505.88</v>
      </c>
      <c r="N80">
        <v>52</v>
      </c>
      <c r="O80">
        <v>48</v>
      </c>
      <c r="P80">
        <v>5.4149999999999997E-3</v>
      </c>
      <c r="Q80">
        <v>2.7861069999999999</v>
      </c>
      <c r="R80">
        <v>2.7915220000000001</v>
      </c>
      <c r="S80" t="s">
        <v>137</v>
      </c>
      <c r="T80">
        <v>3.5749369999999998</v>
      </c>
      <c r="U80">
        <v>0.109539</v>
      </c>
      <c r="V80">
        <v>8.0599999999999997E-4</v>
      </c>
      <c r="W80">
        <v>3.3170000000000001E-3</v>
      </c>
      <c r="X80">
        <v>0.108917</v>
      </c>
      <c r="Y80">
        <v>43.11</v>
      </c>
      <c r="Z80" t="s">
        <v>137</v>
      </c>
      <c r="AA80">
        <v>55.21</v>
      </c>
      <c r="AB80">
        <v>1.69</v>
      </c>
      <c r="AC80">
        <v>0.01</v>
      </c>
      <c r="AD80">
        <v>0.05</v>
      </c>
      <c r="AE80">
        <v>1.68</v>
      </c>
    </row>
    <row r="81" spans="1:31" x14ac:dyDescent="0.3">
      <c r="A81" t="s">
        <v>85</v>
      </c>
      <c r="B81">
        <v>3</v>
      </c>
      <c r="C81">
        <v>3</v>
      </c>
      <c r="D81">
        <v>3</v>
      </c>
      <c r="E81">
        <v>2</v>
      </c>
      <c r="F81">
        <v>0.9</v>
      </c>
      <c r="G81">
        <v>0.9</v>
      </c>
      <c r="H81">
        <v>5.0000000000000001E-3</v>
      </c>
      <c r="I81">
        <v>120</v>
      </c>
      <c r="J81">
        <v>100</v>
      </c>
      <c r="K81">
        <v>0.13340399999999999</v>
      </c>
      <c r="L81">
        <v>9.0311000000000002E-2</v>
      </c>
      <c r="M81">
        <v>11</v>
      </c>
      <c r="N81">
        <v>0</v>
      </c>
      <c r="O81">
        <v>100</v>
      </c>
      <c r="P81">
        <v>5.4349999999999997E-3</v>
      </c>
      <c r="Q81">
        <v>8.5902000000000006E-2</v>
      </c>
      <c r="R81">
        <v>9.1336000000000001E-2</v>
      </c>
      <c r="S81" t="s">
        <v>137</v>
      </c>
      <c r="T81">
        <v>4.2067E-2</v>
      </c>
      <c r="U81">
        <v>2.0149999999999999E-3</v>
      </c>
      <c r="V81">
        <v>5.9100000000000005E-4</v>
      </c>
      <c r="W81">
        <v>6.3E-5</v>
      </c>
      <c r="X81">
        <v>0</v>
      </c>
      <c r="Y81">
        <v>68.47</v>
      </c>
      <c r="Z81" t="s">
        <v>137</v>
      </c>
      <c r="AA81">
        <v>31.53</v>
      </c>
      <c r="AB81">
        <v>1.51</v>
      </c>
      <c r="AC81">
        <v>0.44</v>
      </c>
      <c r="AD81">
        <v>0.05</v>
      </c>
      <c r="AE81">
        <v>0</v>
      </c>
    </row>
    <row r="82" spans="1:31" x14ac:dyDescent="0.3">
      <c r="A82" t="s">
        <v>86</v>
      </c>
      <c r="B82">
        <v>3</v>
      </c>
      <c r="C82">
        <v>3</v>
      </c>
      <c r="D82">
        <v>3</v>
      </c>
      <c r="E82">
        <v>2</v>
      </c>
      <c r="F82">
        <v>0.9</v>
      </c>
      <c r="G82">
        <v>0.9</v>
      </c>
      <c r="H82">
        <v>5.0000000000000001E-3</v>
      </c>
      <c r="I82">
        <v>120</v>
      </c>
      <c r="J82">
        <v>99</v>
      </c>
      <c r="K82">
        <v>1.774524</v>
      </c>
      <c r="L82">
        <v>8.3937019999999993</v>
      </c>
      <c r="M82">
        <v>148.43</v>
      </c>
      <c r="N82">
        <v>11</v>
      </c>
      <c r="O82">
        <v>88</v>
      </c>
      <c r="P82">
        <v>5.5120000000000004E-3</v>
      </c>
      <c r="Q82">
        <v>0.73702500000000004</v>
      </c>
      <c r="R82">
        <v>0.742537</v>
      </c>
      <c r="S82" t="s">
        <v>137</v>
      </c>
      <c r="T82">
        <v>1.013881</v>
      </c>
      <c r="U82">
        <v>3.1815999999999997E-2</v>
      </c>
      <c r="V82">
        <v>8.1099999999999998E-4</v>
      </c>
      <c r="W82">
        <v>8.6499999999999999E-4</v>
      </c>
      <c r="X82">
        <v>1.8106000000000001E-2</v>
      </c>
      <c r="Y82">
        <v>41.84</v>
      </c>
      <c r="Z82" t="s">
        <v>137</v>
      </c>
      <c r="AA82">
        <v>57.14</v>
      </c>
      <c r="AB82">
        <v>1.79</v>
      </c>
      <c r="AC82">
        <v>0.05</v>
      </c>
      <c r="AD82">
        <v>0.05</v>
      </c>
      <c r="AE82">
        <v>1.02</v>
      </c>
    </row>
    <row r="83" spans="1:31" x14ac:dyDescent="0.3">
      <c r="A83" t="s">
        <v>87</v>
      </c>
      <c r="B83">
        <v>3</v>
      </c>
      <c r="C83">
        <v>3</v>
      </c>
      <c r="D83">
        <v>3</v>
      </c>
      <c r="E83">
        <v>2</v>
      </c>
      <c r="F83">
        <v>0.9</v>
      </c>
      <c r="G83">
        <v>0.9</v>
      </c>
      <c r="H83">
        <v>5.0000000000000001E-3</v>
      </c>
      <c r="I83">
        <v>120</v>
      </c>
      <c r="J83">
        <v>100</v>
      </c>
      <c r="K83">
        <v>0.55876999999999999</v>
      </c>
      <c r="L83">
        <v>0.59529500000000002</v>
      </c>
      <c r="M83">
        <v>34.71</v>
      </c>
      <c r="N83">
        <v>7</v>
      </c>
      <c r="O83">
        <v>93</v>
      </c>
      <c r="P83">
        <v>5.0509999999999999E-3</v>
      </c>
      <c r="Q83">
        <v>0.40701399999999999</v>
      </c>
      <c r="R83">
        <v>0.41206500000000001</v>
      </c>
      <c r="S83" t="s">
        <v>137</v>
      </c>
      <c r="T83">
        <v>0.146398</v>
      </c>
      <c r="U83">
        <v>6.9249999999999997E-3</v>
      </c>
      <c r="V83">
        <v>9.5500000000000001E-4</v>
      </c>
      <c r="W83">
        <v>2.2699999999999999E-4</v>
      </c>
      <c r="X83">
        <v>3.0699999999999998E-4</v>
      </c>
      <c r="Y83">
        <v>73.75</v>
      </c>
      <c r="Z83" t="s">
        <v>137</v>
      </c>
      <c r="AA83">
        <v>26.2</v>
      </c>
      <c r="AB83">
        <v>1.24</v>
      </c>
      <c r="AC83">
        <v>0.17</v>
      </c>
      <c r="AD83">
        <v>0.04</v>
      </c>
      <c r="AE83">
        <v>0.05</v>
      </c>
    </row>
    <row r="84" spans="1:31" x14ac:dyDescent="0.3">
      <c r="A84" t="s">
        <v>88</v>
      </c>
      <c r="B84">
        <v>3</v>
      </c>
      <c r="C84">
        <v>3</v>
      </c>
      <c r="D84">
        <v>3</v>
      </c>
      <c r="E84">
        <v>2</v>
      </c>
      <c r="F84">
        <v>0.9</v>
      </c>
      <c r="G84">
        <v>0.9</v>
      </c>
      <c r="H84">
        <v>5.0000000000000001E-3</v>
      </c>
      <c r="I84">
        <v>120</v>
      </c>
      <c r="J84">
        <v>100</v>
      </c>
      <c r="K84">
        <v>1.938628</v>
      </c>
      <c r="L84">
        <v>1.866695</v>
      </c>
      <c r="M84">
        <v>118.22</v>
      </c>
      <c r="N84">
        <v>42</v>
      </c>
      <c r="O84">
        <v>58</v>
      </c>
      <c r="P84">
        <v>5.019E-3</v>
      </c>
      <c r="Q84">
        <v>1.3948560000000001</v>
      </c>
      <c r="R84">
        <v>1.399875</v>
      </c>
      <c r="S84" t="s">
        <v>137</v>
      </c>
      <c r="T84">
        <v>0.525173</v>
      </c>
      <c r="U84">
        <v>2.4972999999999999E-2</v>
      </c>
      <c r="V84">
        <v>1.103E-3</v>
      </c>
      <c r="W84">
        <v>8.6300000000000005E-4</v>
      </c>
      <c r="X84">
        <v>1.358E-2</v>
      </c>
      <c r="Y84">
        <v>72.209999999999994</v>
      </c>
      <c r="Z84" t="s">
        <v>137</v>
      </c>
      <c r="AA84">
        <v>27.09</v>
      </c>
      <c r="AB84">
        <v>1.29</v>
      </c>
      <c r="AC84">
        <v>0.06</v>
      </c>
      <c r="AD84">
        <v>0.04</v>
      </c>
      <c r="AE84">
        <v>0.7</v>
      </c>
    </row>
    <row r="85" spans="1:31" x14ac:dyDescent="0.3">
      <c r="A85" t="s">
        <v>89</v>
      </c>
      <c r="B85">
        <v>3</v>
      </c>
      <c r="C85">
        <v>3</v>
      </c>
      <c r="D85">
        <v>3</v>
      </c>
      <c r="E85">
        <v>2</v>
      </c>
      <c r="F85">
        <v>0.9</v>
      </c>
      <c r="G85">
        <v>0.9</v>
      </c>
      <c r="H85">
        <v>5.0000000000000001E-3</v>
      </c>
      <c r="I85">
        <v>120</v>
      </c>
      <c r="J85">
        <v>100</v>
      </c>
      <c r="K85">
        <v>0.15389600000000001</v>
      </c>
      <c r="L85">
        <v>9.0191999999999994E-2</v>
      </c>
      <c r="M85">
        <v>11.15</v>
      </c>
      <c r="N85">
        <v>0</v>
      </c>
      <c r="O85">
        <v>100</v>
      </c>
      <c r="P85">
        <v>5.3169999999999997E-3</v>
      </c>
      <c r="Q85">
        <v>0.10201</v>
      </c>
      <c r="R85">
        <v>0.10732700000000001</v>
      </c>
      <c r="S85" t="s">
        <v>137</v>
      </c>
      <c r="T85">
        <v>4.6567999999999998E-2</v>
      </c>
      <c r="U85">
        <v>1.9269999999999999E-3</v>
      </c>
      <c r="V85">
        <v>7.8399999999999997E-4</v>
      </c>
      <c r="W85">
        <v>6.4999999999999994E-5</v>
      </c>
      <c r="X85">
        <v>0</v>
      </c>
      <c r="Y85">
        <v>69.739999999999995</v>
      </c>
      <c r="Z85" t="s">
        <v>137</v>
      </c>
      <c r="AA85">
        <v>30.26</v>
      </c>
      <c r="AB85">
        <v>1.25</v>
      </c>
      <c r="AC85">
        <v>0.51</v>
      </c>
      <c r="AD85">
        <v>0.04</v>
      </c>
      <c r="AE85">
        <v>0</v>
      </c>
    </row>
    <row r="86" spans="1:31" x14ac:dyDescent="0.3">
      <c r="A86" t="s">
        <v>90</v>
      </c>
      <c r="B86">
        <v>3</v>
      </c>
      <c r="C86">
        <v>3</v>
      </c>
      <c r="D86">
        <v>3</v>
      </c>
      <c r="E86">
        <v>2</v>
      </c>
      <c r="F86">
        <v>0.9</v>
      </c>
      <c r="G86">
        <v>0.9</v>
      </c>
      <c r="H86">
        <v>5.0000000000000001E-3</v>
      </c>
      <c r="I86">
        <v>120</v>
      </c>
      <c r="J86">
        <v>100</v>
      </c>
      <c r="K86">
        <v>1.556127</v>
      </c>
      <c r="L86">
        <v>2.4005160000000001</v>
      </c>
      <c r="M86">
        <v>95.24</v>
      </c>
      <c r="N86">
        <v>24</v>
      </c>
      <c r="O86">
        <v>76</v>
      </c>
      <c r="P86">
        <v>5.0099999999999997E-3</v>
      </c>
      <c r="Q86">
        <v>1.075664</v>
      </c>
      <c r="R86">
        <v>1.0806739999999999</v>
      </c>
      <c r="S86" t="s">
        <v>137</v>
      </c>
      <c r="T86">
        <v>0.46786699999999998</v>
      </c>
      <c r="U86">
        <v>2.0094999999999998E-2</v>
      </c>
      <c r="V86">
        <v>9.7599999999999998E-4</v>
      </c>
      <c r="W86">
        <v>6.8400000000000004E-4</v>
      </c>
      <c r="X86">
        <v>7.5859999999999999E-3</v>
      </c>
      <c r="Y86">
        <v>69.45</v>
      </c>
      <c r="Z86" t="s">
        <v>137</v>
      </c>
      <c r="AA86">
        <v>30.07</v>
      </c>
      <c r="AB86">
        <v>1.29</v>
      </c>
      <c r="AC86">
        <v>0.06</v>
      </c>
      <c r="AD86">
        <v>0.04</v>
      </c>
      <c r="AE86">
        <v>0.49</v>
      </c>
    </row>
    <row r="87" spans="1:31" x14ac:dyDescent="0.3">
      <c r="A87" t="s">
        <v>91</v>
      </c>
      <c r="B87">
        <v>3</v>
      </c>
      <c r="C87">
        <v>3</v>
      </c>
      <c r="D87">
        <v>3</v>
      </c>
      <c r="E87">
        <v>2</v>
      </c>
      <c r="F87">
        <v>0.9</v>
      </c>
      <c r="G87">
        <v>0.9</v>
      </c>
      <c r="H87">
        <v>5.0000000000000001E-3</v>
      </c>
      <c r="I87">
        <v>120</v>
      </c>
      <c r="J87">
        <v>99</v>
      </c>
      <c r="K87">
        <v>4.04861</v>
      </c>
      <c r="L87">
        <v>5.2400380000000002</v>
      </c>
      <c r="M87">
        <v>273.17</v>
      </c>
      <c r="N87">
        <v>57</v>
      </c>
      <c r="O87">
        <v>42</v>
      </c>
      <c r="P87">
        <v>5.2170000000000003E-3</v>
      </c>
      <c r="Q87">
        <v>2.4945620000000002</v>
      </c>
      <c r="R87">
        <v>2.4997799999999999</v>
      </c>
      <c r="S87" t="s">
        <v>137</v>
      </c>
      <c r="T87">
        <v>1.4894529999999999</v>
      </c>
      <c r="U87">
        <v>5.8479000000000003E-2</v>
      </c>
      <c r="V87">
        <v>1.029E-3</v>
      </c>
      <c r="W87">
        <v>1.8779999999999999E-3</v>
      </c>
      <c r="X87">
        <v>5.9375999999999998E-2</v>
      </c>
      <c r="Y87">
        <v>61.74</v>
      </c>
      <c r="Z87" t="s">
        <v>137</v>
      </c>
      <c r="AA87">
        <v>36.79</v>
      </c>
      <c r="AB87">
        <v>1.44</v>
      </c>
      <c r="AC87">
        <v>0.03</v>
      </c>
      <c r="AD87">
        <v>0.05</v>
      </c>
      <c r="AE87">
        <v>1.47</v>
      </c>
    </row>
    <row r="88" spans="1:31" x14ac:dyDescent="0.3">
      <c r="A88" t="s">
        <v>92</v>
      </c>
      <c r="B88">
        <v>3</v>
      </c>
      <c r="C88">
        <v>3</v>
      </c>
      <c r="D88">
        <v>3</v>
      </c>
      <c r="E88">
        <v>2</v>
      </c>
      <c r="F88">
        <v>0.9</v>
      </c>
      <c r="G88">
        <v>0.9</v>
      </c>
      <c r="H88">
        <v>5.0000000000000001E-3</v>
      </c>
      <c r="I88">
        <v>120</v>
      </c>
      <c r="J88">
        <v>100</v>
      </c>
      <c r="K88">
        <v>3.9452389999999999</v>
      </c>
      <c r="L88">
        <v>12.539399</v>
      </c>
      <c r="M88">
        <v>255.84</v>
      </c>
      <c r="N88">
        <v>50</v>
      </c>
      <c r="O88">
        <v>50</v>
      </c>
      <c r="P88">
        <v>5.0959999999999998E-3</v>
      </c>
      <c r="Q88">
        <v>1.895686</v>
      </c>
      <c r="R88">
        <v>1.900782</v>
      </c>
      <c r="S88" t="s">
        <v>137</v>
      </c>
      <c r="T88">
        <v>1.991025</v>
      </c>
      <c r="U88">
        <v>5.4689000000000002E-2</v>
      </c>
      <c r="V88">
        <v>1.0859999999999999E-3</v>
      </c>
      <c r="W88">
        <v>1.8600000000000001E-3</v>
      </c>
      <c r="X88">
        <v>5.3432E-2</v>
      </c>
      <c r="Y88">
        <v>48.18</v>
      </c>
      <c r="Z88" t="s">
        <v>137</v>
      </c>
      <c r="AA88">
        <v>50.47</v>
      </c>
      <c r="AB88">
        <v>1.39</v>
      </c>
      <c r="AC88">
        <v>0.03</v>
      </c>
      <c r="AD88">
        <v>0.05</v>
      </c>
      <c r="AE88">
        <v>1.35</v>
      </c>
    </row>
    <row r="89" spans="1:31" x14ac:dyDescent="0.3">
      <c r="A89" t="s">
        <v>93</v>
      </c>
      <c r="B89">
        <v>3</v>
      </c>
      <c r="C89">
        <v>3</v>
      </c>
      <c r="D89">
        <v>3</v>
      </c>
      <c r="E89">
        <v>2</v>
      </c>
      <c r="F89">
        <v>0.9</v>
      </c>
      <c r="G89">
        <v>0.9</v>
      </c>
      <c r="H89">
        <v>5.0000000000000001E-3</v>
      </c>
      <c r="I89">
        <v>120</v>
      </c>
      <c r="J89">
        <v>100</v>
      </c>
      <c r="K89">
        <v>0.18357799999999999</v>
      </c>
      <c r="L89">
        <v>0.26537300000000003</v>
      </c>
      <c r="M89">
        <v>16.53</v>
      </c>
      <c r="N89">
        <v>2</v>
      </c>
      <c r="O89">
        <v>98</v>
      </c>
      <c r="P89">
        <v>5.581E-3</v>
      </c>
      <c r="Q89">
        <v>0.122083</v>
      </c>
      <c r="R89">
        <v>0.127663</v>
      </c>
      <c r="S89" t="s">
        <v>137</v>
      </c>
      <c r="T89">
        <v>5.5837999999999999E-2</v>
      </c>
      <c r="U89">
        <v>3.176E-3</v>
      </c>
      <c r="V89">
        <v>6.1300000000000005E-4</v>
      </c>
      <c r="W89">
        <v>9.2999999999999997E-5</v>
      </c>
      <c r="X89">
        <v>7.6000000000000004E-5</v>
      </c>
      <c r="Y89">
        <v>69.540000000000006</v>
      </c>
      <c r="Z89" t="s">
        <v>137</v>
      </c>
      <c r="AA89">
        <v>30.42</v>
      </c>
      <c r="AB89">
        <v>1.73</v>
      </c>
      <c r="AC89">
        <v>0.33</v>
      </c>
      <c r="AD89">
        <v>0.05</v>
      </c>
      <c r="AE89">
        <v>0.04</v>
      </c>
    </row>
    <row r="90" spans="1:31" x14ac:dyDescent="0.3">
      <c r="A90" t="s">
        <v>94</v>
      </c>
      <c r="B90">
        <v>3</v>
      </c>
      <c r="C90">
        <v>3</v>
      </c>
      <c r="D90">
        <v>3</v>
      </c>
      <c r="E90">
        <v>2</v>
      </c>
      <c r="F90">
        <v>0.9</v>
      </c>
      <c r="G90">
        <v>0.9</v>
      </c>
      <c r="H90">
        <v>5.0000000000000001E-3</v>
      </c>
      <c r="I90">
        <v>120</v>
      </c>
      <c r="J90">
        <v>100</v>
      </c>
      <c r="K90">
        <v>1.9061619999999999</v>
      </c>
      <c r="L90">
        <v>2.820128</v>
      </c>
      <c r="M90">
        <v>147.03</v>
      </c>
      <c r="N90">
        <v>33</v>
      </c>
      <c r="O90">
        <v>67</v>
      </c>
      <c r="P90">
        <v>5.4000000000000003E-3</v>
      </c>
      <c r="Q90">
        <v>1.2800279999999999</v>
      </c>
      <c r="R90">
        <v>1.285428</v>
      </c>
      <c r="S90" t="s">
        <v>137</v>
      </c>
      <c r="T90">
        <v>0.600267</v>
      </c>
      <c r="U90">
        <v>3.1147000000000001E-2</v>
      </c>
      <c r="V90">
        <v>1.0070000000000001E-3</v>
      </c>
      <c r="W90">
        <v>8.7000000000000001E-4</v>
      </c>
      <c r="X90">
        <v>2.0466000000000002E-2</v>
      </c>
      <c r="Y90">
        <v>67.44</v>
      </c>
      <c r="Z90" t="s">
        <v>137</v>
      </c>
      <c r="AA90">
        <v>31.49</v>
      </c>
      <c r="AB90">
        <v>1.63</v>
      </c>
      <c r="AC90">
        <v>0.05</v>
      </c>
      <c r="AD90">
        <v>0.05</v>
      </c>
      <c r="AE90">
        <v>1.07</v>
      </c>
    </row>
    <row r="91" spans="1:31" x14ac:dyDescent="0.3">
      <c r="A91" t="s">
        <v>95</v>
      </c>
      <c r="B91">
        <v>3</v>
      </c>
      <c r="C91">
        <v>3</v>
      </c>
      <c r="D91">
        <v>3</v>
      </c>
      <c r="E91">
        <v>2</v>
      </c>
      <c r="F91">
        <v>0.9</v>
      </c>
      <c r="G91">
        <v>0.9</v>
      </c>
      <c r="H91">
        <v>5.0000000000000001E-3</v>
      </c>
      <c r="I91">
        <v>120</v>
      </c>
      <c r="J91">
        <v>100</v>
      </c>
      <c r="K91">
        <v>0.40699600000000002</v>
      </c>
      <c r="L91">
        <v>0.50442100000000001</v>
      </c>
      <c r="M91">
        <v>29.99</v>
      </c>
      <c r="N91">
        <v>3</v>
      </c>
      <c r="O91">
        <v>97</v>
      </c>
      <c r="P91">
        <v>5.1789999999999996E-3</v>
      </c>
      <c r="Q91">
        <v>0.288406</v>
      </c>
      <c r="R91">
        <v>0.29358499999999998</v>
      </c>
      <c r="S91" t="s">
        <v>137</v>
      </c>
      <c r="T91">
        <v>0.113342</v>
      </c>
      <c r="U91">
        <v>5.8840000000000003E-3</v>
      </c>
      <c r="V91">
        <v>9.0399999999999996E-4</v>
      </c>
      <c r="W91">
        <v>1.85E-4</v>
      </c>
      <c r="X91">
        <v>6.8999999999999997E-5</v>
      </c>
      <c r="Y91">
        <v>72.13</v>
      </c>
      <c r="Z91" t="s">
        <v>137</v>
      </c>
      <c r="AA91">
        <v>27.85</v>
      </c>
      <c r="AB91">
        <v>1.45</v>
      </c>
      <c r="AC91">
        <v>0.22</v>
      </c>
      <c r="AD91">
        <v>0.05</v>
      </c>
      <c r="AE91">
        <v>0.02</v>
      </c>
    </row>
    <row r="92" spans="1:31" x14ac:dyDescent="0.3">
      <c r="A92" t="s">
        <v>96</v>
      </c>
      <c r="B92">
        <v>3</v>
      </c>
      <c r="C92">
        <v>3</v>
      </c>
      <c r="D92">
        <v>3</v>
      </c>
      <c r="E92">
        <v>2</v>
      </c>
      <c r="F92">
        <v>0.9</v>
      </c>
      <c r="G92">
        <v>0.9</v>
      </c>
      <c r="H92">
        <v>5.0000000000000001E-3</v>
      </c>
      <c r="I92">
        <v>120</v>
      </c>
      <c r="J92">
        <v>100</v>
      </c>
      <c r="K92">
        <v>0.206039</v>
      </c>
      <c r="L92">
        <v>0.27263599999999999</v>
      </c>
      <c r="M92">
        <v>16.399999999999999</v>
      </c>
      <c r="N92">
        <v>2</v>
      </c>
      <c r="O92">
        <v>98</v>
      </c>
      <c r="P92">
        <v>5.3689999999999996E-3</v>
      </c>
      <c r="Q92">
        <v>0.13953499999999999</v>
      </c>
      <c r="R92">
        <v>0.14490400000000001</v>
      </c>
      <c r="S92" t="s">
        <v>137</v>
      </c>
      <c r="T92">
        <v>6.1135000000000002E-2</v>
      </c>
      <c r="U92">
        <v>3.1459999999999999E-3</v>
      </c>
      <c r="V92">
        <v>6.2E-4</v>
      </c>
      <c r="W92">
        <v>9.6000000000000002E-5</v>
      </c>
      <c r="X92">
        <v>0</v>
      </c>
      <c r="Y92">
        <v>70.33</v>
      </c>
      <c r="Z92" t="s">
        <v>137</v>
      </c>
      <c r="AA92">
        <v>29.67</v>
      </c>
      <c r="AB92">
        <v>1.53</v>
      </c>
      <c r="AC92">
        <v>0.3</v>
      </c>
      <c r="AD92">
        <v>0.05</v>
      </c>
      <c r="AE92">
        <v>0</v>
      </c>
    </row>
    <row r="93" spans="1:31" x14ac:dyDescent="0.3">
      <c r="A93" t="s">
        <v>97</v>
      </c>
      <c r="B93">
        <v>3</v>
      </c>
      <c r="C93">
        <v>3</v>
      </c>
      <c r="D93">
        <v>3</v>
      </c>
      <c r="E93">
        <v>2</v>
      </c>
      <c r="F93">
        <v>0.9</v>
      </c>
      <c r="G93">
        <v>0.9</v>
      </c>
      <c r="H93">
        <v>5.0000000000000001E-3</v>
      </c>
      <c r="I93">
        <v>120</v>
      </c>
      <c r="J93">
        <v>100</v>
      </c>
      <c r="K93">
        <v>0.474856</v>
      </c>
      <c r="L93">
        <v>0.44130900000000001</v>
      </c>
      <c r="M93">
        <v>36.99</v>
      </c>
      <c r="N93">
        <v>4</v>
      </c>
      <c r="O93">
        <v>96</v>
      </c>
      <c r="P93">
        <v>5.3E-3</v>
      </c>
      <c r="Q93">
        <v>0.33823900000000001</v>
      </c>
      <c r="R93">
        <v>0.34353899999999998</v>
      </c>
      <c r="S93" t="s">
        <v>137</v>
      </c>
      <c r="T93">
        <v>0.13117999999999999</v>
      </c>
      <c r="U93">
        <v>7.3590000000000001E-3</v>
      </c>
      <c r="V93">
        <v>9.59E-4</v>
      </c>
      <c r="W93">
        <v>2.24E-4</v>
      </c>
      <c r="X93">
        <v>1.37E-4</v>
      </c>
      <c r="Y93">
        <v>72.349999999999994</v>
      </c>
      <c r="Z93" t="s">
        <v>137</v>
      </c>
      <c r="AA93">
        <v>27.63</v>
      </c>
      <c r="AB93">
        <v>1.55</v>
      </c>
      <c r="AC93">
        <v>0.2</v>
      </c>
      <c r="AD93">
        <v>0.05</v>
      </c>
      <c r="AE93">
        <v>0.03</v>
      </c>
    </row>
    <row r="94" spans="1:31" x14ac:dyDescent="0.3">
      <c r="A94" t="s">
        <v>98</v>
      </c>
      <c r="B94">
        <v>3</v>
      </c>
      <c r="C94">
        <v>3</v>
      </c>
      <c r="D94">
        <v>3</v>
      </c>
      <c r="E94">
        <v>2</v>
      </c>
      <c r="F94">
        <v>0.9</v>
      </c>
      <c r="G94">
        <v>0.9</v>
      </c>
      <c r="H94">
        <v>5.0000000000000001E-3</v>
      </c>
      <c r="I94">
        <v>120</v>
      </c>
      <c r="J94">
        <v>100</v>
      </c>
      <c r="K94">
        <v>0.46463300000000002</v>
      </c>
      <c r="L94">
        <v>0.53752599999999995</v>
      </c>
      <c r="M94">
        <v>32.44</v>
      </c>
      <c r="N94">
        <v>1</v>
      </c>
      <c r="O94">
        <v>99</v>
      </c>
      <c r="P94">
        <v>5.097E-3</v>
      </c>
      <c r="Q94">
        <v>0.33148</v>
      </c>
      <c r="R94">
        <v>0.33657700000000002</v>
      </c>
      <c r="S94" t="s">
        <v>137</v>
      </c>
      <c r="T94">
        <v>0.12796399999999999</v>
      </c>
      <c r="U94">
        <v>6.4539999999999997E-3</v>
      </c>
      <c r="V94">
        <v>8.5300000000000003E-4</v>
      </c>
      <c r="W94">
        <v>1.9699999999999999E-4</v>
      </c>
      <c r="X94">
        <v>9.2E-5</v>
      </c>
      <c r="Y94">
        <v>72.44</v>
      </c>
      <c r="Z94" t="s">
        <v>137</v>
      </c>
      <c r="AA94">
        <v>27.54</v>
      </c>
      <c r="AB94">
        <v>1.39</v>
      </c>
      <c r="AC94">
        <v>0.18</v>
      </c>
      <c r="AD94">
        <v>0.04</v>
      </c>
      <c r="AE94">
        <v>0.02</v>
      </c>
    </row>
    <row r="95" spans="1:31" x14ac:dyDescent="0.3">
      <c r="A95" t="s">
        <v>99</v>
      </c>
      <c r="B95">
        <v>3</v>
      </c>
      <c r="C95">
        <v>3</v>
      </c>
      <c r="D95">
        <v>3</v>
      </c>
      <c r="E95">
        <v>2</v>
      </c>
      <c r="F95">
        <v>0.9</v>
      </c>
      <c r="G95">
        <v>0.9</v>
      </c>
      <c r="H95">
        <v>5.0000000000000001E-3</v>
      </c>
      <c r="I95">
        <v>120</v>
      </c>
      <c r="J95">
        <v>100</v>
      </c>
      <c r="K95">
        <v>0.53392499999999998</v>
      </c>
      <c r="L95">
        <v>0.84345099999999995</v>
      </c>
      <c r="M95">
        <v>45.35</v>
      </c>
      <c r="N95">
        <v>6</v>
      </c>
      <c r="O95">
        <v>94</v>
      </c>
      <c r="P95">
        <v>5.3680000000000004E-3</v>
      </c>
      <c r="Q95">
        <v>0.367587</v>
      </c>
      <c r="R95">
        <v>0.37295499999999998</v>
      </c>
      <c r="S95" t="s">
        <v>137</v>
      </c>
      <c r="T95">
        <v>0.15606800000000001</v>
      </c>
      <c r="U95">
        <v>9.2309999999999996E-3</v>
      </c>
      <c r="V95">
        <v>8.8900000000000003E-4</v>
      </c>
      <c r="W95">
        <v>3.1E-4</v>
      </c>
      <c r="X95">
        <v>4.9030000000000002E-3</v>
      </c>
      <c r="Y95">
        <v>69.849999999999994</v>
      </c>
      <c r="Z95" t="s">
        <v>137</v>
      </c>
      <c r="AA95">
        <v>29.23</v>
      </c>
      <c r="AB95">
        <v>1.73</v>
      </c>
      <c r="AC95">
        <v>0.17</v>
      </c>
      <c r="AD95">
        <v>0.06</v>
      </c>
      <c r="AE95">
        <v>0.92</v>
      </c>
    </row>
    <row r="96" spans="1:31" x14ac:dyDescent="0.3">
      <c r="A96" t="s">
        <v>100</v>
      </c>
      <c r="B96">
        <v>3</v>
      </c>
      <c r="C96">
        <v>3</v>
      </c>
      <c r="D96">
        <v>3</v>
      </c>
      <c r="E96">
        <v>2</v>
      </c>
      <c r="F96">
        <v>0.9</v>
      </c>
      <c r="G96">
        <v>0.9</v>
      </c>
      <c r="H96">
        <v>5.0000000000000001E-3</v>
      </c>
      <c r="I96">
        <v>120</v>
      </c>
      <c r="J96">
        <v>100</v>
      </c>
      <c r="K96">
        <v>1.155489</v>
      </c>
      <c r="L96">
        <v>2.219233</v>
      </c>
      <c r="M96">
        <v>90.08</v>
      </c>
      <c r="N96">
        <v>22</v>
      </c>
      <c r="O96">
        <v>78</v>
      </c>
      <c r="P96">
        <v>5.3270000000000001E-3</v>
      </c>
      <c r="Q96">
        <v>0.77388299999999999</v>
      </c>
      <c r="R96">
        <v>0.77920999999999996</v>
      </c>
      <c r="S96" t="s">
        <v>137</v>
      </c>
      <c r="T96">
        <v>0.35997800000000002</v>
      </c>
      <c r="U96">
        <v>1.8914E-2</v>
      </c>
      <c r="V96">
        <v>1.0790000000000001E-3</v>
      </c>
      <c r="W96">
        <v>5.4299999999999997E-4</v>
      </c>
      <c r="X96">
        <v>1.6302000000000001E-2</v>
      </c>
      <c r="Y96">
        <v>67.44</v>
      </c>
      <c r="Z96" t="s">
        <v>137</v>
      </c>
      <c r="AA96">
        <v>31.15</v>
      </c>
      <c r="AB96">
        <v>1.64</v>
      </c>
      <c r="AC96">
        <v>0.09</v>
      </c>
      <c r="AD96">
        <v>0.05</v>
      </c>
      <c r="AE96">
        <v>1.41</v>
      </c>
    </row>
    <row r="97" spans="1:31" x14ac:dyDescent="0.3">
      <c r="A97" t="s">
        <v>101</v>
      </c>
      <c r="B97">
        <v>3</v>
      </c>
      <c r="C97">
        <v>3</v>
      </c>
      <c r="D97">
        <v>3</v>
      </c>
      <c r="E97">
        <v>2</v>
      </c>
      <c r="F97">
        <v>0.9</v>
      </c>
      <c r="G97">
        <v>0.9</v>
      </c>
      <c r="H97">
        <v>5.0000000000000001E-3</v>
      </c>
      <c r="I97">
        <v>120</v>
      </c>
      <c r="J97">
        <v>100</v>
      </c>
      <c r="K97">
        <v>0.74156299999999997</v>
      </c>
      <c r="L97">
        <v>1.4008149999999999</v>
      </c>
      <c r="M97">
        <v>51.58</v>
      </c>
      <c r="N97">
        <v>12</v>
      </c>
      <c r="O97">
        <v>88</v>
      </c>
      <c r="P97">
        <v>5.1910000000000003E-3</v>
      </c>
      <c r="Q97">
        <v>0.52093299999999998</v>
      </c>
      <c r="R97">
        <v>0.52612499999999995</v>
      </c>
      <c r="S97" t="s">
        <v>137</v>
      </c>
      <c r="T97">
        <v>0.21111199999999999</v>
      </c>
      <c r="U97">
        <v>1.0659999999999999E-2</v>
      </c>
      <c r="V97">
        <v>8.61E-4</v>
      </c>
      <c r="W97">
        <v>3.4600000000000001E-4</v>
      </c>
      <c r="X97">
        <v>4.326E-3</v>
      </c>
      <c r="Y97">
        <v>70.95</v>
      </c>
      <c r="Z97" t="s">
        <v>137</v>
      </c>
      <c r="AA97">
        <v>28.47</v>
      </c>
      <c r="AB97">
        <v>1.44</v>
      </c>
      <c r="AC97">
        <v>0.12</v>
      </c>
      <c r="AD97">
        <v>0.05</v>
      </c>
      <c r="AE97">
        <v>0.57999999999999996</v>
      </c>
    </row>
    <row r="98" spans="1:31" x14ac:dyDescent="0.3">
      <c r="A98" t="s">
        <v>102</v>
      </c>
      <c r="B98">
        <v>3</v>
      </c>
      <c r="C98">
        <v>3</v>
      </c>
      <c r="D98">
        <v>3</v>
      </c>
      <c r="E98">
        <v>2</v>
      </c>
      <c r="F98">
        <v>0.9</v>
      </c>
      <c r="G98">
        <v>0.9</v>
      </c>
      <c r="H98">
        <v>5.0000000000000001E-3</v>
      </c>
      <c r="I98">
        <v>120</v>
      </c>
      <c r="J98">
        <v>100</v>
      </c>
      <c r="K98">
        <v>0.11530600000000001</v>
      </c>
      <c r="L98">
        <v>5.4537000000000002E-2</v>
      </c>
      <c r="M98">
        <v>10.47</v>
      </c>
      <c r="N98">
        <v>0</v>
      </c>
      <c r="O98">
        <v>100</v>
      </c>
      <c r="P98">
        <v>5.5710000000000004E-3</v>
      </c>
      <c r="Q98">
        <v>7.3149000000000006E-2</v>
      </c>
      <c r="R98">
        <v>7.8720999999999999E-2</v>
      </c>
      <c r="S98" t="s">
        <v>137</v>
      </c>
      <c r="T98">
        <v>3.6584999999999999E-2</v>
      </c>
      <c r="U98">
        <v>1.8370000000000001E-3</v>
      </c>
      <c r="V98">
        <v>7.1599999999999995E-4</v>
      </c>
      <c r="W98">
        <v>6.0999999999999999E-5</v>
      </c>
      <c r="X98">
        <v>0</v>
      </c>
      <c r="Y98">
        <v>68.27</v>
      </c>
      <c r="Z98" t="s">
        <v>137</v>
      </c>
      <c r="AA98">
        <v>31.73</v>
      </c>
      <c r="AB98">
        <v>1.59</v>
      </c>
      <c r="AC98">
        <v>0.62</v>
      </c>
      <c r="AD98">
        <v>0.05</v>
      </c>
      <c r="AE98">
        <v>0</v>
      </c>
    </row>
    <row r="99" spans="1:31" x14ac:dyDescent="0.3">
      <c r="A99" t="s">
        <v>103</v>
      </c>
      <c r="B99">
        <v>3</v>
      </c>
      <c r="C99">
        <v>3</v>
      </c>
      <c r="D99">
        <v>3</v>
      </c>
      <c r="E99">
        <v>2</v>
      </c>
      <c r="F99">
        <v>0.9</v>
      </c>
      <c r="G99">
        <v>0.9</v>
      </c>
      <c r="H99">
        <v>5.0000000000000001E-3</v>
      </c>
      <c r="I99">
        <v>120</v>
      </c>
      <c r="J99">
        <v>100</v>
      </c>
      <c r="K99">
        <v>1.060622</v>
      </c>
      <c r="L99">
        <v>2.4393579999999999</v>
      </c>
      <c r="M99">
        <v>80.88</v>
      </c>
      <c r="N99">
        <v>17</v>
      </c>
      <c r="O99">
        <v>83</v>
      </c>
      <c r="P99">
        <v>5.3730000000000002E-3</v>
      </c>
      <c r="Q99">
        <v>0.68544400000000005</v>
      </c>
      <c r="R99">
        <v>0.69081599999999999</v>
      </c>
      <c r="S99" t="s">
        <v>137</v>
      </c>
      <c r="T99">
        <v>0.359543</v>
      </c>
      <c r="U99">
        <v>1.6947E-2</v>
      </c>
      <c r="V99">
        <v>9.0700000000000004E-4</v>
      </c>
      <c r="W99">
        <v>4.7199999999999998E-4</v>
      </c>
      <c r="X99">
        <v>1.0263E-2</v>
      </c>
      <c r="Y99">
        <v>65.13</v>
      </c>
      <c r="Z99" t="s">
        <v>137</v>
      </c>
      <c r="AA99">
        <v>33.9</v>
      </c>
      <c r="AB99">
        <v>1.6</v>
      </c>
      <c r="AC99">
        <v>0.09</v>
      </c>
      <c r="AD99">
        <v>0.04</v>
      </c>
      <c r="AE99">
        <v>0.97</v>
      </c>
    </row>
    <row r="100" spans="1:31" x14ac:dyDescent="0.3">
      <c r="A100" t="s">
        <v>104</v>
      </c>
      <c r="B100">
        <v>3</v>
      </c>
      <c r="C100">
        <v>3</v>
      </c>
      <c r="D100">
        <v>3</v>
      </c>
      <c r="E100">
        <v>2</v>
      </c>
      <c r="F100">
        <v>0.9</v>
      </c>
      <c r="G100">
        <v>0.9</v>
      </c>
      <c r="H100">
        <v>5.0000000000000001E-3</v>
      </c>
      <c r="I100">
        <v>120</v>
      </c>
      <c r="J100">
        <v>100</v>
      </c>
      <c r="K100">
        <v>1.619302</v>
      </c>
      <c r="L100">
        <v>2.7529469999999998</v>
      </c>
      <c r="M100">
        <v>101.93</v>
      </c>
      <c r="N100">
        <v>28</v>
      </c>
      <c r="O100">
        <v>72</v>
      </c>
      <c r="P100">
        <v>5.1050000000000002E-3</v>
      </c>
      <c r="Q100">
        <v>1.086714</v>
      </c>
      <c r="R100">
        <v>1.0918190000000001</v>
      </c>
      <c r="S100" t="s">
        <v>137</v>
      </c>
      <c r="T100">
        <v>0.51183900000000004</v>
      </c>
      <c r="U100">
        <v>2.1332E-2</v>
      </c>
      <c r="V100">
        <v>1.008E-3</v>
      </c>
      <c r="W100">
        <v>6.2399999999999999E-4</v>
      </c>
      <c r="X100">
        <v>1.5644000000000002E-2</v>
      </c>
      <c r="Y100">
        <v>67.430000000000007</v>
      </c>
      <c r="Z100" t="s">
        <v>137</v>
      </c>
      <c r="AA100">
        <v>31.61</v>
      </c>
      <c r="AB100">
        <v>1.32</v>
      </c>
      <c r="AC100">
        <v>0.06</v>
      </c>
      <c r="AD100">
        <v>0.04</v>
      </c>
      <c r="AE100">
        <v>0.97</v>
      </c>
    </row>
    <row r="101" spans="1:31" x14ac:dyDescent="0.3">
      <c r="A101" t="s">
        <v>105</v>
      </c>
      <c r="B101">
        <v>3</v>
      </c>
      <c r="C101">
        <v>3</v>
      </c>
      <c r="D101">
        <v>3</v>
      </c>
      <c r="E101">
        <v>2</v>
      </c>
      <c r="F101">
        <v>0.9</v>
      </c>
      <c r="G101">
        <v>0.9</v>
      </c>
      <c r="H101">
        <v>5.0000000000000001E-3</v>
      </c>
      <c r="I101">
        <v>120</v>
      </c>
      <c r="J101">
        <v>100</v>
      </c>
      <c r="K101">
        <v>0.28756500000000002</v>
      </c>
      <c r="L101">
        <v>0.81890799999999997</v>
      </c>
      <c r="M101">
        <v>23.62</v>
      </c>
      <c r="N101">
        <v>3</v>
      </c>
      <c r="O101">
        <v>97</v>
      </c>
      <c r="P101">
        <v>5.457E-3</v>
      </c>
      <c r="Q101">
        <v>0.192582</v>
      </c>
      <c r="R101">
        <v>0.19803999999999999</v>
      </c>
      <c r="S101" t="s">
        <v>137</v>
      </c>
      <c r="T101">
        <v>8.9165999999999995E-2</v>
      </c>
      <c r="U101">
        <v>4.6699999999999997E-3</v>
      </c>
      <c r="V101">
        <v>6.9800000000000005E-4</v>
      </c>
      <c r="W101">
        <v>1.26E-4</v>
      </c>
      <c r="X101">
        <v>3.59E-4</v>
      </c>
      <c r="Y101">
        <v>68.87</v>
      </c>
      <c r="Z101" t="s">
        <v>137</v>
      </c>
      <c r="AA101">
        <v>31.01</v>
      </c>
      <c r="AB101">
        <v>1.62</v>
      </c>
      <c r="AC101">
        <v>0.24</v>
      </c>
      <c r="AD101">
        <v>0.04</v>
      </c>
      <c r="AE101">
        <v>0.12</v>
      </c>
    </row>
  </sheetData>
  <sortState xmlns:xlrd2="http://schemas.microsoft.com/office/spreadsheetml/2017/richdata2" ref="A2:AE101">
    <sortCondition ref="A1:A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5B50-1850-4EB6-B2E8-C3954CEE119A}">
  <dimension ref="A1:AE101"/>
  <sheetViews>
    <sheetView workbookViewId="0">
      <selection activeCell="J68" sqref="J68"/>
    </sheetView>
  </sheetViews>
  <sheetFormatPr defaultRowHeight="14.4" x14ac:dyDescent="0.3"/>
  <cols>
    <col min="1" max="1" width="15.88671875" customWidth="1"/>
  </cols>
  <sheetData>
    <row r="1" spans="1:31" x14ac:dyDescent="0.3">
      <c r="A1" t="s">
        <v>106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</row>
    <row r="2" spans="1:31" x14ac:dyDescent="0.3">
      <c r="A2" t="s">
        <v>6</v>
      </c>
      <c r="B2">
        <v>3</v>
      </c>
      <c r="C2">
        <v>3</v>
      </c>
      <c r="D2">
        <v>3</v>
      </c>
      <c r="E2">
        <v>2</v>
      </c>
      <c r="F2">
        <v>0.9</v>
      </c>
      <c r="G2">
        <v>0.9</v>
      </c>
      <c r="H2">
        <v>5.0000000000000001E-3</v>
      </c>
      <c r="I2">
        <v>120</v>
      </c>
      <c r="J2">
        <v>100</v>
      </c>
      <c r="K2">
        <v>1.6042959999999999</v>
      </c>
      <c r="L2">
        <v>1.149751</v>
      </c>
      <c r="M2">
        <v>54.93</v>
      </c>
      <c r="N2">
        <v>45</v>
      </c>
      <c r="O2">
        <v>55</v>
      </c>
      <c r="P2">
        <v>3.9240000000000004E-3</v>
      </c>
      <c r="Q2">
        <v>1.22533</v>
      </c>
      <c r="R2">
        <v>1.2292540000000001</v>
      </c>
      <c r="S2" t="s">
        <v>137</v>
      </c>
      <c r="T2">
        <v>0.37074299999999999</v>
      </c>
      <c r="U2">
        <v>1.0994E-2</v>
      </c>
      <c r="V2">
        <v>9.0200000000000002E-4</v>
      </c>
      <c r="W2">
        <v>4.5800000000000002E-4</v>
      </c>
      <c r="X2">
        <v>4.2989999999999999E-3</v>
      </c>
      <c r="Y2">
        <v>76.62</v>
      </c>
      <c r="Z2" t="s">
        <v>137</v>
      </c>
      <c r="AA2">
        <v>23.11</v>
      </c>
      <c r="AB2">
        <v>0.69</v>
      </c>
      <c r="AC2">
        <v>0.06</v>
      </c>
      <c r="AD2">
        <v>0.03</v>
      </c>
      <c r="AE2">
        <v>0.27</v>
      </c>
    </row>
    <row r="3" spans="1:31" x14ac:dyDescent="0.3">
      <c r="A3" t="s">
        <v>7</v>
      </c>
      <c r="B3">
        <v>3</v>
      </c>
      <c r="C3">
        <v>3</v>
      </c>
      <c r="D3">
        <v>3</v>
      </c>
      <c r="E3">
        <v>2</v>
      </c>
      <c r="F3">
        <v>0.9</v>
      </c>
      <c r="G3">
        <v>0.9</v>
      </c>
      <c r="H3">
        <v>5.0000000000000001E-3</v>
      </c>
      <c r="I3">
        <v>120</v>
      </c>
      <c r="J3">
        <v>100</v>
      </c>
      <c r="K3">
        <v>3.5661689999999999</v>
      </c>
      <c r="L3">
        <v>2.43398</v>
      </c>
      <c r="M3">
        <v>119.46</v>
      </c>
      <c r="N3">
        <v>85</v>
      </c>
      <c r="O3">
        <v>15</v>
      </c>
      <c r="P3">
        <v>3.9050000000000001E-3</v>
      </c>
      <c r="Q3">
        <v>2.594935</v>
      </c>
      <c r="R3">
        <v>2.5988410000000002</v>
      </c>
      <c r="S3" t="s">
        <v>137</v>
      </c>
      <c r="T3">
        <v>0.955121</v>
      </c>
      <c r="U3">
        <v>2.4679E-2</v>
      </c>
      <c r="V3">
        <v>9.7599999999999998E-4</v>
      </c>
      <c r="W3">
        <v>1.0510000000000001E-3</v>
      </c>
      <c r="X3">
        <v>1.2207000000000001E-2</v>
      </c>
      <c r="Y3">
        <v>72.87</v>
      </c>
      <c r="Z3" t="s">
        <v>137</v>
      </c>
      <c r="AA3">
        <v>26.78</v>
      </c>
      <c r="AB3">
        <v>0.69</v>
      </c>
      <c r="AC3">
        <v>0.03</v>
      </c>
      <c r="AD3">
        <v>0.03</v>
      </c>
      <c r="AE3">
        <v>0.34</v>
      </c>
    </row>
    <row r="4" spans="1:31" x14ac:dyDescent="0.3">
      <c r="A4" t="s">
        <v>8</v>
      </c>
      <c r="B4">
        <v>3</v>
      </c>
      <c r="C4">
        <v>3</v>
      </c>
      <c r="D4">
        <v>3</v>
      </c>
      <c r="E4">
        <v>2</v>
      </c>
      <c r="F4">
        <v>0.9</v>
      </c>
      <c r="G4">
        <v>0.9</v>
      </c>
      <c r="H4">
        <v>5.0000000000000001E-3</v>
      </c>
      <c r="I4">
        <v>120</v>
      </c>
      <c r="J4">
        <v>100</v>
      </c>
      <c r="K4">
        <v>4.7329049999999997</v>
      </c>
      <c r="L4">
        <v>3.0609380000000002</v>
      </c>
      <c r="M4">
        <v>158.69</v>
      </c>
      <c r="N4">
        <v>90</v>
      </c>
      <c r="O4">
        <v>10</v>
      </c>
      <c r="P4">
        <v>4.0359999999999997E-3</v>
      </c>
      <c r="Q4">
        <v>3.337815</v>
      </c>
      <c r="R4">
        <v>3.3418510000000001</v>
      </c>
      <c r="S4" t="s">
        <v>137</v>
      </c>
      <c r="T4">
        <v>1.370487</v>
      </c>
      <c r="U4">
        <v>3.3338E-2</v>
      </c>
      <c r="V4">
        <v>9.2699999999999998E-4</v>
      </c>
      <c r="W4">
        <v>1.438E-3</v>
      </c>
      <c r="X4">
        <v>2.0566000000000001E-2</v>
      </c>
      <c r="Y4">
        <v>70.61</v>
      </c>
      <c r="Z4" t="s">
        <v>137</v>
      </c>
      <c r="AA4">
        <v>28.96</v>
      </c>
      <c r="AB4">
        <v>0.7</v>
      </c>
      <c r="AC4">
        <v>0.02</v>
      </c>
      <c r="AD4">
        <v>0.03</v>
      </c>
      <c r="AE4">
        <v>0.43</v>
      </c>
    </row>
    <row r="5" spans="1:31" x14ac:dyDescent="0.3">
      <c r="A5" t="s">
        <v>9</v>
      </c>
      <c r="B5">
        <v>3</v>
      </c>
      <c r="C5">
        <v>3</v>
      </c>
      <c r="D5">
        <v>3</v>
      </c>
      <c r="E5">
        <v>2</v>
      </c>
      <c r="F5">
        <v>0.9</v>
      </c>
      <c r="G5">
        <v>0.9</v>
      </c>
      <c r="H5">
        <v>5.0000000000000001E-3</v>
      </c>
      <c r="I5">
        <v>120</v>
      </c>
      <c r="J5">
        <v>100</v>
      </c>
      <c r="K5">
        <v>3.2697029999999998</v>
      </c>
      <c r="L5">
        <v>1.7346159999999999</v>
      </c>
      <c r="M5">
        <v>107.55</v>
      </c>
      <c r="N5">
        <v>81</v>
      </c>
      <c r="O5">
        <v>19</v>
      </c>
      <c r="P5">
        <v>3.9779999999999998E-3</v>
      </c>
      <c r="Q5">
        <v>2.415063</v>
      </c>
      <c r="R5">
        <v>2.419041</v>
      </c>
      <c r="S5" t="s">
        <v>137</v>
      </c>
      <c r="T5">
        <v>0.84141699999999997</v>
      </c>
      <c r="U5">
        <v>2.2466E-2</v>
      </c>
      <c r="V5">
        <v>9.6199999999999996E-4</v>
      </c>
      <c r="W5">
        <v>8.9499999999999996E-4</v>
      </c>
      <c r="X5">
        <v>9.2440000000000005E-3</v>
      </c>
      <c r="Y5">
        <v>73.98</v>
      </c>
      <c r="Z5" t="s">
        <v>137</v>
      </c>
      <c r="AA5">
        <v>25.73</v>
      </c>
      <c r="AB5">
        <v>0.69</v>
      </c>
      <c r="AC5">
        <v>0.03</v>
      </c>
      <c r="AD5">
        <v>0.03</v>
      </c>
      <c r="AE5">
        <v>0.28000000000000003</v>
      </c>
    </row>
    <row r="6" spans="1:31" x14ac:dyDescent="0.3">
      <c r="A6" t="s">
        <v>10</v>
      </c>
      <c r="B6">
        <v>3</v>
      </c>
      <c r="C6">
        <v>3</v>
      </c>
      <c r="D6">
        <v>3</v>
      </c>
      <c r="E6">
        <v>2</v>
      </c>
      <c r="F6">
        <v>0.9</v>
      </c>
      <c r="G6">
        <v>0.9</v>
      </c>
      <c r="H6">
        <v>5.0000000000000001E-3</v>
      </c>
      <c r="I6">
        <v>120</v>
      </c>
      <c r="J6">
        <v>100</v>
      </c>
      <c r="K6">
        <v>4.3654070000000003</v>
      </c>
      <c r="L6">
        <v>2.6232790000000001</v>
      </c>
      <c r="M6">
        <v>150.05000000000001</v>
      </c>
      <c r="N6">
        <v>89</v>
      </c>
      <c r="O6">
        <v>11</v>
      </c>
      <c r="P6">
        <v>3.9979999999999998E-3</v>
      </c>
      <c r="Q6">
        <v>3.1334070000000001</v>
      </c>
      <c r="R6">
        <v>3.1374050000000002</v>
      </c>
      <c r="S6" t="s">
        <v>137</v>
      </c>
      <c r="T6">
        <v>1.212599</v>
      </c>
      <c r="U6">
        <v>3.1515000000000001E-2</v>
      </c>
      <c r="V6">
        <v>9.7499999999999996E-4</v>
      </c>
      <c r="W6">
        <v>1.359E-3</v>
      </c>
      <c r="X6">
        <v>1.5403E-2</v>
      </c>
      <c r="Y6">
        <v>71.87</v>
      </c>
      <c r="Z6" t="s">
        <v>137</v>
      </c>
      <c r="AA6">
        <v>27.78</v>
      </c>
      <c r="AB6">
        <v>0.72</v>
      </c>
      <c r="AC6">
        <v>0.02</v>
      </c>
      <c r="AD6">
        <v>0.03</v>
      </c>
      <c r="AE6">
        <v>0.35</v>
      </c>
    </row>
    <row r="7" spans="1:31" x14ac:dyDescent="0.3">
      <c r="A7" t="s">
        <v>11</v>
      </c>
      <c r="B7">
        <v>3</v>
      </c>
      <c r="C7">
        <v>3</v>
      </c>
      <c r="D7">
        <v>3</v>
      </c>
      <c r="E7">
        <v>2</v>
      </c>
      <c r="F7">
        <v>0.9</v>
      </c>
      <c r="G7">
        <v>0.9</v>
      </c>
      <c r="H7">
        <v>5.0000000000000001E-3</v>
      </c>
      <c r="I7">
        <v>120</v>
      </c>
      <c r="J7">
        <v>100</v>
      </c>
      <c r="K7">
        <v>3.1183079999999999</v>
      </c>
      <c r="L7">
        <v>1.7331220000000001</v>
      </c>
      <c r="M7">
        <v>104.77</v>
      </c>
      <c r="N7">
        <v>81</v>
      </c>
      <c r="O7">
        <v>19</v>
      </c>
      <c r="P7">
        <v>3.9919999999999999E-3</v>
      </c>
      <c r="Q7">
        <v>2.3231410000000001</v>
      </c>
      <c r="R7">
        <v>2.327134</v>
      </c>
      <c r="S7" t="s">
        <v>137</v>
      </c>
      <c r="T7">
        <v>0.78206799999999999</v>
      </c>
      <c r="U7">
        <v>2.1843999999999999E-2</v>
      </c>
      <c r="V7">
        <v>9.6100000000000005E-4</v>
      </c>
      <c r="W7">
        <v>9.0899999999999998E-4</v>
      </c>
      <c r="X7">
        <v>9.1070000000000005E-3</v>
      </c>
      <c r="Y7">
        <v>74.63</v>
      </c>
      <c r="Z7" t="s">
        <v>137</v>
      </c>
      <c r="AA7">
        <v>25.08</v>
      </c>
      <c r="AB7">
        <v>0.7</v>
      </c>
      <c r="AC7">
        <v>0.03</v>
      </c>
      <c r="AD7">
        <v>0.03</v>
      </c>
      <c r="AE7">
        <v>0.28999999999999998</v>
      </c>
    </row>
    <row r="8" spans="1:31" x14ac:dyDescent="0.3">
      <c r="A8" t="s">
        <v>12</v>
      </c>
      <c r="B8">
        <v>3</v>
      </c>
      <c r="C8">
        <v>3</v>
      </c>
      <c r="D8">
        <v>3</v>
      </c>
      <c r="E8">
        <v>2</v>
      </c>
      <c r="F8">
        <v>0.9</v>
      </c>
      <c r="G8">
        <v>0.9</v>
      </c>
      <c r="H8">
        <v>5.0000000000000001E-3</v>
      </c>
      <c r="I8">
        <v>120</v>
      </c>
      <c r="J8">
        <v>100</v>
      </c>
      <c r="K8">
        <v>2.186204</v>
      </c>
      <c r="L8">
        <v>1.2978499999999999</v>
      </c>
      <c r="M8">
        <v>73.650000000000006</v>
      </c>
      <c r="N8">
        <v>71</v>
      </c>
      <c r="O8">
        <v>29</v>
      </c>
      <c r="P8">
        <v>3.9500000000000004E-3</v>
      </c>
      <c r="Q8">
        <v>1.6647730000000001</v>
      </c>
      <c r="R8">
        <v>1.668723</v>
      </c>
      <c r="S8" t="s">
        <v>137</v>
      </c>
      <c r="T8">
        <v>0.51388299999999998</v>
      </c>
      <c r="U8">
        <v>1.5174E-2</v>
      </c>
      <c r="V8">
        <v>9.4200000000000002E-4</v>
      </c>
      <c r="W8">
        <v>6.4199999999999999E-4</v>
      </c>
      <c r="X8">
        <v>3.5969999999999999E-3</v>
      </c>
      <c r="Y8">
        <v>76.33</v>
      </c>
      <c r="Z8" t="s">
        <v>137</v>
      </c>
      <c r="AA8">
        <v>23.51</v>
      </c>
      <c r="AB8">
        <v>0.69</v>
      </c>
      <c r="AC8">
        <v>0.04</v>
      </c>
      <c r="AD8">
        <v>0.03</v>
      </c>
      <c r="AE8">
        <v>0.16</v>
      </c>
    </row>
    <row r="9" spans="1:31" x14ac:dyDescent="0.3">
      <c r="A9" t="s">
        <v>13</v>
      </c>
      <c r="B9">
        <v>3</v>
      </c>
      <c r="C9">
        <v>3</v>
      </c>
      <c r="D9">
        <v>3</v>
      </c>
      <c r="E9">
        <v>2</v>
      </c>
      <c r="F9">
        <v>0.9</v>
      </c>
      <c r="G9">
        <v>0.9</v>
      </c>
      <c r="H9">
        <v>5.0000000000000001E-3</v>
      </c>
      <c r="I9">
        <v>120</v>
      </c>
      <c r="J9">
        <v>100</v>
      </c>
      <c r="K9">
        <v>2.1845829999999999</v>
      </c>
      <c r="L9">
        <v>1.453859</v>
      </c>
      <c r="M9">
        <v>76.31</v>
      </c>
      <c r="N9">
        <v>70</v>
      </c>
      <c r="O9">
        <v>30</v>
      </c>
      <c r="P9">
        <v>4.1050000000000001E-3</v>
      </c>
      <c r="Q9">
        <v>1.6530629999999999</v>
      </c>
      <c r="R9">
        <v>1.657168</v>
      </c>
      <c r="S9" t="s">
        <v>137</v>
      </c>
      <c r="T9">
        <v>0.522617</v>
      </c>
      <c r="U9">
        <v>1.5754000000000001E-2</v>
      </c>
      <c r="V9">
        <v>9.68E-4</v>
      </c>
      <c r="W9">
        <v>6.5499999999999998E-4</v>
      </c>
      <c r="X9">
        <v>4.7980000000000002E-3</v>
      </c>
      <c r="Y9">
        <v>75.86</v>
      </c>
      <c r="Z9" t="s">
        <v>137</v>
      </c>
      <c r="AA9">
        <v>23.92</v>
      </c>
      <c r="AB9">
        <v>0.72</v>
      </c>
      <c r="AC9">
        <v>0.04</v>
      </c>
      <c r="AD9">
        <v>0.03</v>
      </c>
      <c r="AE9">
        <v>0.22</v>
      </c>
    </row>
    <row r="10" spans="1:31" x14ac:dyDescent="0.3">
      <c r="A10" t="s">
        <v>14</v>
      </c>
      <c r="B10">
        <v>3</v>
      </c>
      <c r="C10">
        <v>3</v>
      </c>
      <c r="D10">
        <v>3</v>
      </c>
      <c r="E10">
        <v>2</v>
      </c>
      <c r="F10">
        <v>0.9</v>
      </c>
      <c r="G10">
        <v>0.9</v>
      </c>
      <c r="H10">
        <v>5.0000000000000001E-3</v>
      </c>
      <c r="I10">
        <v>120</v>
      </c>
      <c r="J10">
        <v>100</v>
      </c>
      <c r="K10">
        <v>3.2488069999999998</v>
      </c>
      <c r="L10">
        <v>2.0877210000000002</v>
      </c>
      <c r="M10">
        <v>116.52</v>
      </c>
      <c r="N10">
        <v>81</v>
      </c>
      <c r="O10">
        <v>19</v>
      </c>
      <c r="P10">
        <v>3.8990000000000001E-3</v>
      </c>
      <c r="Q10">
        <v>2.3868510000000001</v>
      </c>
      <c r="R10">
        <v>2.3907500000000002</v>
      </c>
      <c r="S10" t="s">
        <v>137</v>
      </c>
      <c r="T10">
        <v>0.84922900000000001</v>
      </c>
      <c r="U10">
        <v>2.3328999999999999E-2</v>
      </c>
      <c r="V10">
        <v>9.1699999999999995E-4</v>
      </c>
      <c r="W10">
        <v>1.016E-3</v>
      </c>
      <c r="X10">
        <v>8.8280000000000008E-3</v>
      </c>
      <c r="Y10">
        <v>73.59</v>
      </c>
      <c r="Z10" t="s">
        <v>137</v>
      </c>
      <c r="AA10">
        <v>26.14</v>
      </c>
      <c r="AB10">
        <v>0.72</v>
      </c>
      <c r="AC10">
        <v>0.03</v>
      </c>
      <c r="AD10">
        <v>0.03</v>
      </c>
      <c r="AE10">
        <v>0.27</v>
      </c>
    </row>
    <row r="11" spans="1:31" x14ac:dyDescent="0.3">
      <c r="A11" t="s">
        <v>15</v>
      </c>
      <c r="B11">
        <v>3</v>
      </c>
      <c r="C11">
        <v>3</v>
      </c>
      <c r="D11">
        <v>3</v>
      </c>
      <c r="E11">
        <v>2</v>
      </c>
      <c r="F11">
        <v>0.9</v>
      </c>
      <c r="G11">
        <v>0.9</v>
      </c>
      <c r="H11">
        <v>5.0000000000000001E-3</v>
      </c>
      <c r="I11">
        <v>120</v>
      </c>
      <c r="J11">
        <v>100</v>
      </c>
      <c r="K11">
        <v>2.366139</v>
      </c>
      <c r="L11">
        <v>1.5009049999999999</v>
      </c>
      <c r="M11">
        <v>81.569999999999993</v>
      </c>
      <c r="N11">
        <v>66</v>
      </c>
      <c r="O11">
        <v>34</v>
      </c>
      <c r="P11">
        <v>4.0740000000000004E-3</v>
      </c>
      <c r="Q11">
        <v>1.7844519999999999</v>
      </c>
      <c r="R11">
        <v>1.7885260000000001</v>
      </c>
      <c r="S11" t="s">
        <v>137</v>
      </c>
      <c r="T11">
        <v>0.57060500000000003</v>
      </c>
      <c r="U11">
        <v>1.6945999999999999E-2</v>
      </c>
      <c r="V11">
        <v>8.7200000000000005E-4</v>
      </c>
      <c r="W11">
        <v>7.5799999999999999E-4</v>
      </c>
      <c r="X11">
        <v>7.0089999999999996E-3</v>
      </c>
      <c r="Y11">
        <v>75.59</v>
      </c>
      <c r="Z11" t="s">
        <v>137</v>
      </c>
      <c r="AA11">
        <v>24.12</v>
      </c>
      <c r="AB11">
        <v>0.72</v>
      </c>
      <c r="AC11">
        <v>0.04</v>
      </c>
      <c r="AD11">
        <v>0.03</v>
      </c>
      <c r="AE11">
        <v>0.3</v>
      </c>
    </row>
    <row r="12" spans="1:31" x14ac:dyDescent="0.3">
      <c r="A12" t="s">
        <v>16</v>
      </c>
      <c r="B12">
        <v>3</v>
      </c>
      <c r="C12">
        <v>3</v>
      </c>
      <c r="D12">
        <v>3</v>
      </c>
      <c r="E12">
        <v>2</v>
      </c>
      <c r="F12">
        <v>0.9</v>
      </c>
      <c r="G12">
        <v>0.9</v>
      </c>
      <c r="H12">
        <v>5.0000000000000001E-3</v>
      </c>
      <c r="I12">
        <v>120</v>
      </c>
      <c r="J12">
        <v>97</v>
      </c>
      <c r="K12">
        <v>12.675625999999999</v>
      </c>
      <c r="L12">
        <v>13.845805</v>
      </c>
      <c r="M12">
        <v>588.66</v>
      </c>
      <c r="N12">
        <v>91</v>
      </c>
      <c r="O12">
        <v>6</v>
      </c>
      <c r="P12">
        <v>4.6280000000000002E-3</v>
      </c>
      <c r="Q12">
        <v>6.295458</v>
      </c>
      <c r="R12">
        <v>6.3000860000000003</v>
      </c>
      <c r="S12" t="s">
        <v>137</v>
      </c>
      <c r="T12">
        <v>6.2295429999999996</v>
      </c>
      <c r="U12">
        <v>0.12731100000000001</v>
      </c>
      <c r="V12">
        <v>1.1969999999999999E-3</v>
      </c>
      <c r="W12">
        <v>4.62E-3</v>
      </c>
      <c r="X12">
        <v>0.14599699999999999</v>
      </c>
      <c r="Y12">
        <v>49.7</v>
      </c>
      <c r="Z12" t="s">
        <v>137</v>
      </c>
      <c r="AA12">
        <v>49.15</v>
      </c>
      <c r="AB12">
        <v>1</v>
      </c>
      <c r="AC12">
        <v>0.01</v>
      </c>
      <c r="AD12">
        <v>0.04</v>
      </c>
      <c r="AE12">
        <v>1.1499999999999999</v>
      </c>
    </row>
    <row r="13" spans="1:31" x14ac:dyDescent="0.3">
      <c r="A13" t="s">
        <v>17</v>
      </c>
      <c r="B13">
        <v>3</v>
      </c>
      <c r="C13">
        <v>3</v>
      </c>
      <c r="D13">
        <v>3</v>
      </c>
      <c r="E13">
        <v>2</v>
      </c>
      <c r="F13">
        <v>0.9</v>
      </c>
      <c r="G13">
        <v>0.9</v>
      </c>
      <c r="H13">
        <v>5.0000000000000001E-3</v>
      </c>
      <c r="I13">
        <v>120</v>
      </c>
      <c r="J13">
        <v>100</v>
      </c>
      <c r="K13">
        <v>2.5209389999999998</v>
      </c>
      <c r="L13">
        <v>2.2967949999999999</v>
      </c>
      <c r="M13">
        <v>123.71</v>
      </c>
      <c r="N13">
        <v>75</v>
      </c>
      <c r="O13">
        <v>25</v>
      </c>
      <c r="P13">
        <v>4.4970000000000001E-3</v>
      </c>
      <c r="Q13">
        <v>1.809364</v>
      </c>
      <c r="R13">
        <v>1.8138609999999999</v>
      </c>
      <c r="S13" t="s">
        <v>137</v>
      </c>
      <c r="T13">
        <v>0.68224899999999999</v>
      </c>
      <c r="U13">
        <v>2.5912999999999999E-2</v>
      </c>
      <c r="V13">
        <v>1.008E-3</v>
      </c>
      <c r="W13">
        <v>9.5699999999999995E-4</v>
      </c>
      <c r="X13">
        <v>2.4830000000000001E-2</v>
      </c>
      <c r="Y13">
        <v>71.95</v>
      </c>
      <c r="Z13" t="s">
        <v>137</v>
      </c>
      <c r="AA13">
        <v>27.06</v>
      </c>
      <c r="AB13">
        <v>1.03</v>
      </c>
      <c r="AC13">
        <v>0.04</v>
      </c>
      <c r="AD13">
        <v>0.04</v>
      </c>
      <c r="AE13">
        <v>0.98</v>
      </c>
    </row>
    <row r="14" spans="1:31" x14ac:dyDescent="0.3">
      <c r="A14" t="s">
        <v>18</v>
      </c>
      <c r="B14">
        <v>3</v>
      </c>
      <c r="C14">
        <v>3</v>
      </c>
      <c r="D14">
        <v>3</v>
      </c>
      <c r="E14">
        <v>2</v>
      </c>
      <c r="F14">
        <v>0.9</v>
      </c>
      <c r="G14">
        <v>0.9</v>
      </c>
      <c r="H14">
        <v>5.0000000000000001E-3</v>
      </c>
      <c r="I14">
        <v>120</v>
      </c>
      <c r="J14">
        <v>100</v>
      </c>
      <c r="K14">
        <v>0.91206200000000004</v>
      </c>
      <c r="L14">
        <v>0.65913999999999995</v>
      </c>
      <c r="M14">
        <v>43.56</v>
      </c>
      <c r="N14">
        <v>29</v>
      </c>
      <c r="O14">
        <v>71</v>
      </c>
      <c r="P14">
        <v>4.4799999999999996E-3</v>
      </c>
      <c r="Q14">
        <v>0.68376899999999996</v>
      </c>
      <c r="R14">
        <v>0.688249</v>
      </c>
      <c r="S14" t="s">
        <v>137</v>
      </c>
      <c r="T14">
        <v>0.22151100000000001</v>
      </c>
      <c r="U14">
        <v>8.7220000000000006E-3</v>
      </c>
      <c r="V14">
        <v>9.6599999999999995E-4</v>
      </c>
      <c r="W14">
        <v>3.2000000000000003E-4</v>
      </c>
      <c r="X14">
        <v>2.3019999999999998E-3</v>
      </c>
      <c r="Y14">
        <v>75.459999999999994</v>
      </c>
      <c r="Z14" t="s">
        <v>137</v>
      </c>
      <c r="AA14">
        <v>24.29</v>
      </c>
      <c r="AB14">
        <v>0.96</v>
      </c>
      <c r="AC14">
        <v>0.11</v>
      </c>
      <c r="AD14">
        <v>0.04</v>
      </c>
      <c r="AE14">
        <v>0.25</v>
      </c>
    </row>
    <row r="15" spans="1:31" x14ac:dyDescent="0.3">
      <c r="A15" t="s">
        <v>19</v>
      </c>
      <c r="B15">
        <v>3</v>
      </c>
      <c r="C15">
        <v>3</v>
      </c>
      <c r="D15">
        <v>3</v>
      </c>
      <c r="E15">
        <v>2</v>
      </c>
      <c r="F15">
        <v>0.9</v>
      </c>
      <c r="G15">
        <v>0.9</v>
      </c>
      <c r="H15">
        <v>5.0000000000000001E-3</v>
      </c>
      <c r="I15">
        <v>120</v>
      </c>
      <c r="J15">
        <v>100</v>
      </c>
      <c r="K15">
        <v>5.3272930000000001</v>
      </c>
      <c r="L15">
        <v>4.9504239999999999</v>
      </c>
      <c r="M15">
        <v>252.12</v>
      </c>
      <c r="N15">
        <v>90</v>
      </c>
      <c r="O15">
        <v>10</v>
      </c>
      <c r="P15">
        <v>4.5779999999999996E-3</v>
      </c>
      <c r="Q15">
        <v>3.486062</v>
      </c>
      <c r="R15">
        <v>3.49064</v>
      </c>
      <c r="S15" t="s">
        <v>137</v>
      </c>
      <c r="T15">
        <v>1.7947519999999999</v>
      </c>
      <c r="U15">
        <v>5.3440000000000001E-2</v>
      </c>
      <c r="V15">
        <v>1.0809999999999999E-3</v>
      </c>
      <c r="W15">
        <v>1.954E-3</v>
      </c>
      <c r="X15">
        <v>4.1902000000000002E-2</v>
      </c>
      <c r="Y15">
        <v>65.52</v>
      </c>
      <c r="Z15" t="s">
        <v>137</v>
      </c>
      <c r="AA15">
        <v>33.69</v>
      </c>
      <c r="AB15">
        <v>1</v>
      </c>
      <c r="AC15">
        <v>0.02</v>
      </c>
      <c r="AD15">
        <v>0.04</v>
      </c>
      <c r="AE15">
        <v>0.79</v>
      </c>
    </row>
    <row r="16" spans="1:31" x14ac:dyDescent="0.3">
      <c r="A16" t="s">
        <v>20</v>
      </c>
      <c r="B16">
        <v>3</v>
      </c>
      <c r="C16">
        <v>3</v>
      </c>
      <c r="D16">
        <v>3</v>
      </c>
      <c r="E16">
        <v>2</v>
      </c>
      <c r="F16">
        <v>0.9</v>
      </c>
      <c r="G16">
        <v>0.9</v>
      </c>
      <c r="H16">
        <v>5.0000000000000001E-3</v>
      </c>
      <c r="I16">
        <v>120</v>
      </c>
      <c r="J16">
        <v>100</v>
      </c>
      <c r="K16">
        <v>2.2546170000000001</v>
      </c>
      <c r="L16">
        <v>1.9329419999999999</v>
      </c>
      <c r="M16">
        <v>104.89</v>
      </c>
      <c r="N16">
        <v>71</v>
      </c>
      <c r="O16">
        <v>29</v>
      </c>
      <c r="P16">
        <v>4.5259999999999996E-3</v>
      </c>
      <c r="Q16">
        <v>1.6527130000000001</v>
      </c>
      <c r="R16">
        <v>1.657238</v>
      </c>
      <c r="S16" t="s">
        <v>137</v>
      </c>
      <c r="T16">
        <v>0.58691499999999996</v>
      </c>
      <c r="U16">
        <v>2.1812000000000002E-2</v>
      </c>
      <c r="V16">
        <v>1.0579999999999999E-3</v>
      </c>
      <c r="W16">
        <v>8.1099999999999998E-4</v>
      </c>
      <c r="X16">
        <v>1.0463E-2</v>
      </c>
      <c r="Y16">
        <v>73.5</v>
      </c>
      <c r="Z16" t="s">
        <v>137</v>
      </c>
      <c r="AA16">
        <v>26.03</v>
      </c>
      <c r="AB16">
        <v>0.97</v>
      </c>
      <c r="AC16">
        <v>0.05</v>
      </c>
      <c r="AD16">
        <v>0.04</v>
      </c>
      <c r="AE16">
        <v>0.46</v>
      </c>
    </row>
    <row r="17" spans="1:31" x14ac:dyDescent="0.3">
      <c r="A17" t="s">
        <v>21</v>
      </c>
      <c r="B17">
        <v>3</v>
      </c>
      <c r="C17">
        <v>3</v>
      </c>
      <c r="D17">
        <v>3</v>
      </c>
      <c r="E17">
        <v>2</v>
      </c>
      <c r="F17">
        <v>0.9</v>
      </c>
      <c r="G17">
        <v>0.9</v>
      </c>
      <c r="H17">
        <v>5.0000000000000001E-3</v>
      </c>
      <c r="I17">
        <v>120</v>
      </c>
      <c r="J17">
        <v>100</v>
      </c>
      <c r="K17">
        <v>2.48428</v>
      </c>
      <c r="L17">
        <v>1.982019</v>
      </c>
      <c r="M17">
        <v>112.94</v>
      </c>
      <c r="N17">
        <v>77</v>
      </c>
      <c r="O17">
        <v>23</v>
      </c>
      <c r="P17">
        <v>4.5009999999999998E-3</v>
      </c>
      <c r="Q17">
        <v>1.8241860000000001</v>
      </c>
      <c r="R17">
        <v>1.828687</v>
      </c>
      <c r="S17" t="s">
        <v>137</v>
      </c>
      <c r="T17">
        <v>0.64117800000000003</v>
      </c>
      <c r="U17">
        <v>2.3650999999999998E-2</v>
      </c>
      <c r="V17">
        <v>9.6400000000000001E-4</v>
      </c>
      <c r="W17">
        <v>9.68E-4</v>
      </c>
      <c r="X17">
        <v>1.4415000000000001E-2</v>
      </c>
      <c r="Y17">
        <v>73.61</v>
      </c>
      <c r="Z17" t="s">
        <v>137</v>
      </c>
      <c r="AA17">
        <v>25.81</v>
      </c>
      <c r="AB17">
        <v>0.95</v>
      </c>
      <c r="AC17">
        <v>0.04</v>
      </c>
      <c r="AD17">
        <v>0.04</v>
      </c>
      <c r="AE17">
        <v>0.57999999999999996</v>
      </c>
    </row>
    <row r="18" spans="1:31" x14ac:dyDescent="0.3">
      <c r="A18" t="s">
        <v>22</v>
      </c>
      <c r="B18">
        <v>3</v>
      </c>
      <c r="C18">
        <v>3</v>
      </c>
      <c r="D18">
        <v>3</v>
      </c>
      <c r="E18">
        <v>2</v>
      </c>
      <c r="F18">
        <v>0.9</v>
      </c>
      <c r="G18">
        <v>0.9</v>
      </c>
      <c r="H18">
        <v>5.0000000000000001E-3</v>
      </c>
      <c r="I18">
        <v>120</v>
      </c>
      <c r="J18">
        <v>100</v>
      </c>
      <c r="K18">
        <v>1.5218560000000001</v>
      </c>
      <c r="L18">
        <v>1.0470390000000001</v>
      </c>
      <c r="M18">
        <v>71.010000000000005</v>
      </c>
      <c r="N18">
        <v>57</v>
      </c>
      <c r="O18">
        <v>43</v>
      </c>
      <c r="P18">
        <v>4.509E-3</v>
      </c>
      <c r="Q18">
        <v>1.1437850000000001</v>
      </c>
      <c r="R18">
        <v>1.1482950000000001</v>
      </c>
      <c r="S18" t="s">
        <v>137</v>
      </c>
      <c r="T18">
        <v>0.36476999999999998</v>
      </c>
      <c r="U18">
        <v>1.4596E-2</v>
      </c>
      <c r="V18">
        <v>1.0039999999999999E-3</v>
      </c>
      <c r="W18">
        <v>5.8900000000000001E-4</v>
      </c>
      <c r="X18">
        <v>8.7919999999999995E-3</v>
      </c>
      <c r="Y18">
        <v>75.45</v>
      </c>
      <c r="Z18" t="s">
        <v>137</v>
      </c>
      <c r="AA18">
        <v>23.97</v>
      </c>
      <c r="AB18">
        <v>0.96</v>
      </c>
      <c r="AC18">
        <v>7.0000000000000007E-2</v>
      </c>
      <c r="AD18">
        <v>0.04</v>
      </c>
      <c r="AE18">
        <v>0.57999999999999996</v>
      </c>
    </row>
    <row r="19" spans="1:31" x14ac:dyDescent="0.3">
      <c r="A19" t="s">
        <v>23</v>
      </c>
      <c r="B19">
        <v>3</v>
      </c>
      <c r="C19">
        <v>3</v>
      </c>
      <c r="D19">
        <v>3</v>
      </c>
      <c r="E19">
        <v>2</v>
      </c>
      <c r="F19">
        <v>0.9</v>
      </c>
      <c r="G19">
        <v>0.9</v>
      </c>
      <c r="H19">
        <v>5.0000000000000001E-3</v>
      </c>
      <c r="I19">
        <v>120</v>
      </c>
      <c r="J19">
        <v>100</v>
      </c>
      <c r="K19">
        <v>4.6264010000000004</v>
      </c>
      <c r="L19">
        <v>3.5948509999999998</v>
      </c>
      <c r="M19">
        <v>225.24</v>
      </c>
      <c r="N19">
        <v>97</v>
      </c>
      <c r="O19">
        <v>3</v>
      </c>
      <c r="P19">
        <v>4.7349999999999996E-3</v>
      </c>
      <c r="Q19">
        <v>3.1676419999999998</v>
      </c>
      <c r="R19">
        <v>3.1723759999999999</v>
      </c>
      <c r="S19" t="s">
        <v>137</v>
      </c>
      <c r="T19">
        <v>1.4155230000000001</v>
      </c>
      <c r="U19">
        <v>4.7774999999999998E-2</v>
      </c>
      <c r="V19">
        <v>1.0169999999999999E-3</v>
      </c>
      <c r="W19">
        <v>1.869E-3</v>
      </c>
      <c r="X19">
        <v>3.8502000000000002E-2</v>
      </c>
      <c r="Y19">
        <v>68.569999999999993</v>
      </c>
      <c r="Z19" t="s">
        <v>137</v>
      </c>
      <c r="AA19">
        <v>30.6</v>
      </c>
      <c r="AB19">
        <v>1.03</v>
      </c>
      <c r="AC19">
        <v>0.02</v>
      </c>
      <c r="AD19">
        <v>0.04</v>
      </c>
      <c r="AE19">
        <v>0.83</v>
      </c>
    </row>
    <row r="20" spans="1:31" x14ac:dyDescent="0.3">
      <c r="A20" t="s">
        <v>24</v>
      </c>
      <c r="B20">
        <v>3</v>
      </c>
      <c r="C20">
        <v>3</v>
      </c>
      <c r="D20">
        <v>3</v>
      </c>
      <c r="E20">
        <v>2</v>
      </c>
      <c r="F20">
        <v>0.9</v>
      </c>
      <c r="G20">
        <v>0.9</v>
      </c>
      <c r="H20">
        <v>5.0000000000000001E-3</v>
      </c>
      <c r="I20">
        <v>120</v>
      </c>
      <c r="J20">
        <v>100</v>
      </c>
      <c r="K20">
        <v>4.39276</v>
      </c>
      <c r="L20">
        <v>7.2283299999999997</v>
      </c>
      <c r="M20">
        <v>209.25</v>
      </c>
      <c r="N20">
        <v>86</v>
      </c>
      <c r="O20">
        <v>14</v>
      </c>
      <c r="P20">
        <v>4.607E-3</v>
      </c>
      <c r="Q20">
        <v>2.762146</v>
      </c>
      <c r="R20">
        <v>2.766753</v>
      </c>
      <c r="S20" t="s">
        <v>137</v>
      </c>
      <c r="T20">
        <v>1.584606</v>
      </c>
      <c r="U20">
        <v>4.4255999999999997E-2</v>
      </c>
      <c r="V20">
        <v>1.0369999999999999E-3</v>
      </c>
      <c r="W20">
        <v>1.699E-3</v>
      </c>
      <c r="X20">
        <v>4.1401E-2</v>
      </c>
      <c r="Y20">
        <v>62.98</v>
      </c>
      <c r="Z20" t="s">
        <v>137</v>
      </c>
      <c r="AA20">
        <v>36.07</v>
      </c>
      <c r="AB20">
        <v>1.01</v>
      </c>
      <c r="AC20">
        <v>0.02</v>
      </c>
      <c r="AD20">
        <v>0.04</v>
      </c>
      <c r="AE20">
        <v>0.94</v>
      </c>
    </row>
    <row r="21" spans="1:31" x14ac:dyDescent="0.3">
      <c r="A21" t="s">
        <v>25</v>
      </c>
      <c r="B21">
        <v>3</v>
      </c>
      <c r="C21">
        <v>3</v>
      </c>
      <c r="D21">
        <v>3</v>
      </c>
      <c r="E21">
        <v>2</v>
      </c>
      <c r="F21">
        <v>0.9</v>
      </c>
      <c r="G21">
        <v>0.9</v>
      </c>
      <c r="H21">
        <v>5.0000000000000001E-3</v>
      </c>
      <c r="I21">
        <v>120</v>
      </c>
      <c r="J21">
        <v>100</v>
      </c>
      <c r="K21">
        <v>5.5401280000000002</v>
      </c>
      <c r="L21">
        <v>3.7482329999999999</v>
      </c>
      <c r="M21">
        <v>247.64</v>
      </c>
      <c r="N21">
        <v>91</v>
      </c>
      <c r="O21">
        <v>9</v>
      </c>
      <c r="P21">
        <v>4.5329999999999997E-3</v>
      </c>
      <c r="Q21">
        <v>3.7765059999999999</v>
      </c>
      <c r="R21">
        <v>3.7810380000000001</v>
      </c>
      <c r="S21" t="s">
        <v>137</v>
      </c>
      <c r="T21">
        <v>1.714771</v>
      </c>
      <c r="U21">
        <v>5.2610999999999998E-2</v>
      </c>
      <c r="V21">
        <v>1.1180000000000001E-3</v>
      </c>
      <c r="W21">
        <v>1.9580000000000001E-3</v>
      </c>
      <c r="X21">
        <v>4.4319999999999998E-2</v>
      </c>
      <c r="Y21">
        <v>68.25</v>
      </c>
      <c r="Z21" t="s">
        <v>137</v>
      </c>
      <c r="AA21">
        <v>30.95</v>
      </c>
      <c r="AB21">
        <v>0.95</v>
      </c>
      <c r="AC21">
        <v>0.02</v>
      </c>
      <c r="AD21">
        <v>0.04</v>
      </c>
      <c r="AE21">
        <v>0.8</v>
      </c>
    </row>
    <row r="22" spans="1:31" x14ac:dyDescent="0.3">
      <c r="A22" t="s">
        <v>26</v>
      </c>
      <c r="B22">
        <v>3</v>
      </c>
      <c r="C22">
        <v>3</v>
      </c>
      <c r="D22">
        <v>3</v>
      </c>
      <c r="E22">
        <v>2</v>
      </c>
      <c r="F22">
        <v>0.9</v>
      </c>
      <c r="G22">
        <v>0.9</v>
      </c>
      <c r="H22">
        <v>5.0000000000000001E-3</v>
      </c>
      <c r="I22">
        <v>120</v>
      </c>
      <c r="J22">
        <v>100</v>
      </c>
      <c r="K22">
        <v>3.3342139999999998</v>
      </c>
      <c r="L22">
        <v>2.4318230000000001</v>
      </c>
      <c r="M22">
        <v>147.31</v>
      </c>
      <c r="N22">
        <v>89</v>
      </c>
      <c r="O22">
        <v>11</v>
      </c>
      <c r="P22">
        <v>4.529E-3</v>
      </c>
      <c r="Q22">
        <v>2.4074810000000002</v>
      </c>
      <c r="R22">
        <v>2.41201</v>
      </c>
      <c r="S22" t="s">
        <v>137</v>
      </c>
      <c r="T22">
        <v>0.89974200000000004</v>
      </c>
      <c r="U22">
        <v>3.1085999999999999E-2</v>
      </c>
      <c r="V22">
        <v>1.0690000000000001E-3</v>
      </c>
      <c r="W22">
        <v>1.2780000000000001E-3</v>
      </c>
      <c r="X22">
        <v>2.2461999999999999E-2</v>
      </c>
      <c r="Y22">
        <v>72.34</v>
      </c>
      <c r="Z22" t="s">
        <v>137</v>
      </c>
      <c r="AA22">
        <v>26.99</v>
      </c>
      <c r="AB22">
        <v>0.93</v>
      </c>
      <c r="AC22">
        <v>0.03</v>
      </c>
      <c r="AD22">
        <v>0.04</v>
      </c>
      <c r="AE22">
        <v>0.67</v>
      </c>
    </row>
    <row r="23" spans="1:31" x14ac:dyDescent="0.3">
      <c r="A23" t="s">
        <v>27</v>
      </c>
      <c r="B23">
        <v>3</v>
      </c>
      <c r="C23">
        <v>3</v>
      </c>
      <c r="D23">
        <v>3</v>
      </c>
      <c r="E23">
        <v>2</v>
      </c>
      <c r="F23">
        <v>0.9</v>
      </c>
      <c r="G23">
        <v>0.9</v>
      </c>
      <c r="H23">
        <v>5.0000000000000001E-3</v>
      </c>
      <c r="I23">
        <v>120</v>
      </c>
      <c r="J23">
        <v>99</v>
      </c>
      <c r="K23">
        <v>15.032861</v>
      </c>
      <c r="L23">
        <v>13.257377</v>
      </c>
      <c r="M23">
        <v>716.01</v>
      </c>
      <c r="N23">
        <v>98</v>
      </c>
      <c r="O23">
        <v>1</v>
      </c>
      <c r="P23">
        <v>4.5849999999999997E-3</v>
      </c>
      <c r="Q23">
        <v>7.48759</v>
      </c>
      <c r="R23">
        <v>7.4921749999999996</v>
      </c>
      <c r="S23" t="s">
        <v>137</v>
      </c>
      <c r="T23">
        <v>7.3911519999999999</v>
      </c>
      <c r="U23">
        <v>0.15357699999999999</v>
      </c>
      <c r="V23">
        <v>1.122E-3</v>
      </c>
      <c r="W23">
        <v>6.0800000000000003E-3</v>
      </c>
      <c r="X23">
        <v>0.149534</v>
      </c>
      <c r="Y23">
        <v>49.84</v>
      </c>
      <c r="Z23" t="s">
        <v>137</v>
      </c>
      <c r="AA23">
        <v>49.17</v>
      </c>
      <c r="AB23">
        <v>1.02</v>
      </c>
      <c r="AC23">
        <v>0.01</v>
      </c>
      <c r="AD23">
        <v>0.04</v>
      </c>
      <c r="AE23">
        <v>0.99</v>
      </c>
    </row>
    <row r="24" spans="1:31" x14ac:dyDescent="0.3">
      <c r="A24" t="s">
        <v>28</v>
      </c>
      <c r="B24">
        <v>3</v>
      </c>
      <c r="C24">
        <v>3</v>
      </c>
      <c r="D24">
        <v>3</v>
      </c>
      <c r="E24">
        <v>2</v>
      </c>
      <c r="F24">
        <v>0.9</v>
      </c>
      <c r="G24">
        <v>0.9</v>
      </c>
      <c r="H24">
        <v>5.0000000000000001E-3</v>
      </c>
      <c r="I24">
        <v>120</v>
      </c>
      <c r="J24">
        <v>100</v>
      </c>
      <c r="K24">
        <v>4.4477019999999996</v>
      </c>
      <c r="L24">
        <v>4.201784</v>
      </c>
      <c r="M24">
        <v>215.92</v>
      </c>
      <c r="N24">
        <v>88</v>
      </c>
      <c r="O24">
        <v>12</v>
      </c>
      <c r="P24">
        <v>4.5630000000000002E-3</v>
      </c>
      <c r="Q24">
        <v>2.9924149999999998</v>
      </c>
      <c r="R24">
        <v>2.9969779999999999</v>
      </c>
      <c r="S24" t="s">
        <v>137</v>
      </c>
      <c r="T24">
        <v>1.4128050000000001</v>
      </c>
      <c r="U24">
        <v>4.5814000000000001E-2</v>
      </c>
      <c r="V24">
        <v>1.034E-3</v>
      </c>
      <c r="W24">
        <v>1.7309999999999999E-3</v>
      </c>
      <c r="X24">
        <v>3.7918E-2</v>
      </c>
      <c r="Y24">
        <v>67.38</v>
      </c>
      <c r="Z24" t="s">
        <v>137</v>
      </c>
      <c r="AA24">
        <v>31.76</v>
      </c>
      <c r="AB24">
        <v>1.03</v>
      </c>
      <c r="AC24">
        <v>0.02</v>
      </c>
      <c r="AD24">
        <v>0.04</v>
      </c>
      <c r="AE24">
        <v>0.85</v>
      </c>
    </row>
    <row r="25" spans="1:31" x14ac:dyDescent="0.3">
      <c r="A25" t="s">
        <v>29</v>
      </c>
      <c r="B25">
        <v>3</v>
      </c>
      <c r="C25">
        <v>3</v>
      </c>
      <c r="D25">
        <v>3</v>
      </c>
      <c r="E25">
        <v>2</v>
      </c>
      <c r="F25">
        <v>0.9</v>
      </c>
      <c r="G25">
        <v>0.9</v>
      </c>
      <c r="H25">
        <v>5.0000000000000001E-3</v>
      </c>
      <c r="I25">
        <v>120</v>
      </c>
      <c r="J25">
        <v>100</v>
      </c>
      <c r="K25">
        <v>3.2106330000000001</v>
      </c>
      <c r="L25">
        <v>2.7598340000000001</v>
      </c>
      <c r="M25">
        <v>147.63999999999999</v>
      </c>
      <c r="N25">
        <v>84</v>
      </c>
      <c r="O25">
        <v>16</v>
      </c>
      <c r="P25">
        <v>4.5389999999999996E-3</v>
      </c>
      <c r="Q25">
        <v>2.2786300000000002</v>
      </c>
      <c r="R25">
        <v>2.2831679999999999</v>
      </c>
      <c r="S25" t="s">
        <v>137</v>
      </c>
      <c r="T25">
        <v>0.90442900000000004</v>
      </c>
      <c r="U25">
        <v>3.1165999999999999E-2</v>
      </c>
      <c r="V25">
        <v>1.0009999999999999E-3</v>
      </c>
      <c r="W25">
        <v>1.294E-3</v>
      </c>
      <c r="X25">
        <v>2.3035E-2</v>
      </c>
      <c r="Y25">
        <v>71.11</v>
      </c>
      <c r="Z25" t="s">
        <v>137</v>
      </c>
      <c r="AA25">
        <v>28.17</v>
      </c>
      <c r="AB25">
        <v>0.97</v>
      </c>
      <c r="AC25">
        <v>0.03</v>
      </c>
      <c r="AD25">
        <v>0.04</v>
      </c>
      <c r="AE25">
        <v>0.72</v>
      </c>
    </row>
    <row r="26" spans="1:31" x14ac:dyDescent="0.3">
      <c r="A26" t="s">
        <v>30</v>
      </c>
      <c r="B26">
        <v>3</v>
      </c>
      <c r="C26">
        <v>3</v>
      </c>
      <c r="D26">
        <v>3</v>
      </c>
      <c r="E26">
        <v>2</v>
      </c>
      <c r="F26">
        <v>0.9</v>
      </c>
      <c r="G26">
        <v>0.9</v>
      </c>
      <c r="H26">
        <v>5.0000000000000001E-3</v>
      </c>
      <c r="I26">
        <v>120</v>
      </c>
      <c r="J26">
        <v>100</v>
      </c>
      <c r="K26">
        <v>4.6569029999999998</v>
      </c>
      <c r="L26">
        <v>3.6475010000000001</v>
      </c>
      <c r="M26">
        <v>203.19</v>
      </c>
      <c r="N26">
        <v>92</v>
      </c>
      <c r="O26">
        <v>8</v>
      </c>
      <c r="P26">
        <v>4.4660000000000004E-3</v>
      </c>
      <c r="Q26">
        <v>3.2274919999999998</v>
      </c>
      <c r="R26">
        <v>3.2319580000000001</v>
      </c>
      <c r="S26" t="s">
        <v>137</v>
      </c>
      <c r="T26">
        <v>1.3954409999999999</v>
      </c>
      <c r="U26">
        <v>4.2995999999999999E-2</v>
      </c>
      <c r="V26">
        <v>1.065E-3</v>
      </c>
      <c r="W26">
        <v>1.6670000000000001E-3</v>
      </c>
      <c r="X26">
        <v>2.9503999999999999E-2</v>
      </c>
      <c r="Y26">
        <v>69.400000000000006</v>
      </c>
      <c r="Z26" t="s">
        <v>137</v>
      </c>
      <c r="AA26">
        <v>29.97</v>
      </c>
      <c r="AB26">
        <v>0.92</v>
      </c>
      <c r="AC26">
        <v>0.02</v>
      </c>
      <c r="AD26">
        <v>0.04</v>
      </c>
      <c r="AE26">
        <v>0.63</v>
      </c>
    </row>
    <row r="27" spans="1:31" x14ac:dyDescent="0.3">
      <c r="A27" t="s">
        <v>31</v>
      </c>
      <c r="B27">
        <v>3</v>
      </c>
      <c r="C27">
        <v>3</v>
      </c>
      <c r="D27">
        <v>3</v>
      </c>
      <c r="E27">
        <v>2</v>
      </c>
      <c r="F27">
        <v>0.9</v>
      </c>
      <c r="G27">
        <v>0.9</v>
      </c>
      <c r="H27">
        <v>5.0000000000000001E-3</v>
      </c>
      <c r="I27">
        <v>120</v>
      </c>
      <c r="J27">
        <v>100</v>
      </c>
      <c r="K27">
        <v>1.8935029999999999</v>
      </c>
      <c r="L27">
        <v>1.264826</v>
      </c>
      <c r="M27">
        <v>84.65</v>
      </c>
      <c r="N27">
        <v>70</v>
      </c>
      <c r="O27">
        <v>30</v>
      </c>
      <c r="P27">
        <v>4.4889999999999999E-3</v>
      </c>
      <c r="Q27">
        <v>1.430806</v>
      </c>
      <c r="R27">
        <v>1.435295</v>
      </c>
      <c r="S27" t="s">
        <v>137</v>
      </c>
      <c r="T27">
        <v>0.45138699999999998</v>
      </c>
      <c r="U27">
        <v>1.7579999999999998E-2</v>
      </c>
      <c r="V27">
        <v>9.4600000000000001E-4</v>
      </c>
      <c r="W27">
        <v>6.5399999999999996E-4</v>
      </c>
      <c r="X27">
        <v>6.8219999999999999E-3</v>
      </c>
      <c r="Y27">
        <v>75.8</v>
      </c>
      <c r="Z27" t="s">
        <v>137</v>
      </c>
      <c r="AA27">
        <v>23.84</v>
      </c>
      <c r="AB27">
        <v>0.93</v>
      </c>
      <c r="AC27">
        <v>0.05</v>
      </c>
      <c r="AD27">
        <v>0.03</v>
      </c>
      <c r="AE27">
        <v>0.36</v>
      </c>
    </row>
    <row r="28" spans="1:31" x14ac:dyDescent="0.3">
      <c r="A28" t="s">
        <v>32</v>
      </c>
      <c r="B28">
        <v>3</v>
      </c>
      <c r="C28">
        <v>3</v>
      </c>
      <c r="D28">
        <v>3</v>
      </c>
      <c r="E28">
        <v>2</v>
      </c>
      <c r="F28">
        <v>0.9</v>
      </c>
      <c r="G28">
        <v>0.9</v>
      </c>
      <c r="H28">
        <v>5.0000000000000001E-3</v>
      </c>
      <c r="I28">
        <v>120</v>
      </c>
      <c r="J28">
        <v>100</v>
      </c>
      <c r="K28">
        <v>3.5209869999999999</v>
      </c>
      <c r="L28">
        <v>4.2185620000000004</v>
      </c>
      <c r="M28">
        <v>167.27</v>
      </c>
      <c r="N28">
        <v>87</v>
      </c>
      <c r="O28">
        <v>13</v>
      </c>
      <c r="P28">
        <v>4.6020000000000002E-3</v>
      </c>
      <c r="Q28">
        <v>2.4016820000000001</v>
      </c>
      <c r="R28">
        <v>2.406285</v>
      </c>
      <c r="S28" t="s">
        <v>137</v>
      </c>
      <c r="T28">
        <v>1.094498</v>
      </c>
      <c r="U28">
        <v>3.5314999999999999E-2</v>
      </c>
      <c r="V28">
        <v>1.083E-3</v>
      </c>
      <c r="W28">
        <v>1.304E-3</v>
      </c>
      <c r="X28">
        <v>2.0204E-2</v>
      </c>
      <c r="Y28">
        <v>68.34</v>
      </c>
      <c r="Z28" t="s">
        <v>137</v>
      </c>
      <c r="AA28">
        <v>31.08</v>
      </c>
      <c r="AB28">
        <v>1</v>
      </c>
      <c r="AC28">
        <v>0.03</v>
      </c>
      <c r="AD28">
        <v>0.04</v>
      </c>
      <c r="AE28">
        <v>0.56999999999999995</v>
      </c>
    </row>
    <row r="29" spans="1:31" x14ac:dyDescent="0.3">
      <c r="A29" t="s">
        <v>33</v>
      </c>
      <c r="B29">
        <v>3</v>
      </c>
      <c r="C29">
        <v>3</v>
      </c>
      <c r="D29">
        <v>3</v>
      </c>
      <c r="E29">
        <v>2</v>
      </c>
      <c r="F29">
        <v>0.9</v>
      </c>
      <c r="G29">
        <v>0.9</v>
      </c>
      <c r="H29">
        <v>5.0000000000000001E-3</v>
      </c>
      <c r="I29">
        <v>120</v>
      </c>
      <c r="J29">
        <v>99</v>
      </c>
      <c r="K29">
        <v>8.6656720000000007</v>
      </c>
      <c r="L29">
        <v>10.467879</v>
      </c>
      <c r="M29">
        <v>416.71</v>
      </c>
      <c r="N29">
        <v>92</v>
      </c>
      <c r="O29">
        <v>7</v>
      </c>
      <c r="P29">
        <v>4.5849999999999997E-3</v>
      </c>
      <c r="Q29">
        <v>4.7711550000000003</v>
      </c>
      <c r="R29">
        <v>4.7757389999999997</v>
      </c>
      <c r="S29" t="s">
        <v>137</v>
      </c>
      <c r="T29">
        <v>3.799302</v>
      </c>
      <c r="U29">
        <v>8.9011999999999994E-2</v>
      </c>
      <c r="V29">
        <v>1.0629999999999999E-3</v>
      </c>
      <c r="W29">
        <v>3.372E-3</v>
      </c>
      <c r="X29">
        <v>9.0631000000000003E-2</v>
      </c>
      <c r="Y29">
        <v>55.11</v>
      </c>
      <c r="Z29" t="s">
        <v>137</v>
      </c>
      <c r="AA29">
        <v>43.84</v>
      </c>
      <c r="AB29">
        <v>1.03</v>
      </c>
      <c r="AC29">
        <v>0.01</v>
      </c>
      <c r="AD29">
        <v>0.04</v>
      </c>
      <c r="AE29">
        <v>1.05</v>
      </c>
    </row>
    <row r="30" spans="1:31" x14ac:dyDescent="0.3">
      <c r="A30" t="s">
        <v>34</v>
      </c>
      <c r="B30">
        <v>3</v>
      </c>
      <c r="C30">
        <v>3</v>
      </c>
      <c r="D30">
        <v>3</v>
      </c>
      <c r="E30">
        <v>2</v>
      </c>
      <c r="F30">
        <v>0.9</v>
      </c>
      <c r="G30">
        <v>0.9</v>
      </c>
      <c r="H30">
        <v>5.0000000000000001E-3</v>
      </c>
      <c r="I30">
        <v>120</v>
      </c>
      <c r="J30">
        <v>100</v>
      </c>
      <c r="K30">
        <v>8.3182120000000008</v>
      </c>
      <c r="L30">
        <v>6.4505780000000001</v>
      </c>
      <c r="M30">
        <v>413.21</v>
      </c>
      <c r="N30">
        <v>95</v>
      </c>
      <c r="O30">
        <v>5</v>
      </c>
      <c r="P30">
        <v>4.6699999999999997E-3</v>
      </c>
      <c r="Q30">
        <v>5.0538759999999998</v>
      </c>
      <c r="R30">
        <v>5.0585459999999998</v>
      </c>
      <c r="S30" t="s">
        <v>137</v>
      </c>
      <c r="T30">
        <v>3.1656759999999999</v>
      </c>
      <c r="U30">
        <v>8.8193999999999995E-2</v>
      </c>
      <c r="V30">
        <v>1.155E-3</v>
      </c>
      <c r="W30">
        <v>3.2690000000000002E-3</v>
      </c>
      <c r="X30">
        <v>9.3990000000000004E-2</v>
      </c>
      <c r="Y30">
        <v>60.81</v>
      </c>
      <c r="Z30" t="s">
        <v>137</v>
      </c>
      <c r="AA30">
        <v>38.06</v>
      </c>
      <c r="AB30">
        <v>1.06</v>
      </c>
      <c r="AC30">
        <v>0.01</v>
      </c>
      <c r="AD30">
        <v>0.04</v>
      </c>
      <c r="AE30">
        <v>1.1299999999999999</v>
      </c>
    </row>
    <row r="31" spans="1:31" x14ac:dyDescent="0.3">
      <c r="A31" t="s">
        <v>35</v>
      </c>
      <c r="B31">
        <v>3</v>
      </c>
      <c r="C31">
        <v>3</v>
      </c>
      <c r="D31">
        <v>3</v>
      </c>
      <c r="E31">
        <v>2</v>
      </c>
      <c r="F31">
        <v>0.9</v>
      </c>
      <c r="G31">
        <v>0.9</v>
      </c>
      <c r="H31">
        <v>5.0000000000000001E-3</v>
      </c>
      <c r="I31">
        <v>120</v>
      </c>
      <c r="J31">
        <v>100</v>
      </c>
      <c r="K31">
        <v>5.3070449999999996</v>
      </c>
      <c r="L31">
        <v>5.0843069999999999</v>
      </c>
      <c r="M31">
        <v>242.27</v>
      </c>
      <c r="N31">
        <v>92</v>
      </c>
      <c r="O31">
        <v>8</v>
      </c>
      <c r="P31">
        <v>4.5100000000000001E-3</v>
      </c>
      <c r="Q31">
        <v>3.4961579999999999</v>
      </c>
      <c r="R31">
        <v>3.5006680000000001</v>
      </c>
      <c r="S31" t="s">
        <v>137</v>
      </c>
      <c r="T31">
        <v>1.766529</v>
      </c>
      <c r="U31">
        <v>5.1492999999999997E-2</v>
      </c>
      <c r="V31">
        <v>9.9500000000000001E-4</v>
      </c>
      <c r="W31">
        <v>2.2000000000000001E-3</v>
      </c>
      <c r="X31">
        <v>3.9849000000000002E-2</v>
      </c>
      <c r="Y31">
        <v>65.959999999999994</v>
      </c>
      <c r="Z31" t="s">
        <v>137</v>
      </c>
      <c r="AA31">
        <v>33.29</v>
      </c>
      <c r="AB31">
        <v>0.97</v>
      </c>
      <c r="AC31">
        <v>0.02</v>
      </c>
      <c r="AD31">
        <v>0.04</v>
      </c>
      <c r="AE31">
        <v>0.75</v>
      </c>
    </row>
    <row r="32" spans="1:31" x14ac:dyDescent="0.3">
      <c r="A32" t="s">
        <v>36</v>
      </c>
      <c r="B32">
        <v>3</v>
      </c>
      <c r="C32">
        <v>3</v>
      </c>
      <c r="D32">
        <v>3</v>
      </c>
      <c r="E32">
        <v>2</v>
      </c>
      <c r="F32">
        <v>0.9</v>
      </c>
      <c r="G32">
        <v>0.9</v>
      </c>
      <c r="H32">
        <v>5.0000000000000001E-3</v>
      </c>
      <c r="I32">
        <v>120</v>
      </c>
      <c r="J32">
        <v>100</v>
      </c>
      <c r="K32">
        <v>3.3560370000000002</v>
      </c>
      <c r="L32">
        <v>3.1303480000000001</v>
      </c>
      <c r="M32">
        <v>154.07</v>
      </c>
      <c r="N32">
        <v>85</v>
      </c>
      <c r="O32">
        <v>15</v>
      </c>
      <c r="P32">
        <v>4.4580000000000002E-3</v>
      </c>
      <c r="Q32">
        <v>2.357596</v>
      </c>
      <c r="R32">
        <v>2.3620540000000001</v>
      </c>
      <c r="S32" t="s">
        <v>137</v>
      </c>
      <c r="T32">
        <v>0.96587500000000004</v>
      </c>
      <c r="U32">
        <v>3.2427999999999998E-2</v>
      </c>
      <c r="V32">
        <v>1.119E-3</v>
      </c>
      <c r="W32">
        <v>1.1620000000000001E-3</v>
      </c>
      <c r="X32">
        <v>2.8108000000000001E-2</v>
      </c>
      <c r="Y32">
        <v>70.38</v>
      </c>
      <c r="Z32" t="s">
        <v>137</v>
      </c>
      <c r="AA32">
        <v>28.78</v>
      </c>
      <c r="AB32">
        <v>0.97</v>
      </c>
      <c r="AC32">
        <v>0.03</v>
      </c>
      <c r="AD32">
        <v>0.03</v>
      </c>
      <c r="AE32">
        <v>0.84</v>
      </c>
    </row>
    <row r="33" spans="1:31" x14ac:dyDescent="0.3">
      <c r="A33" t="s">
        <v>37</v>
      </c>
      <c r="B33">
        <v>3</v>
      </c>
      <c r="C33">
        <v>3</v>
      </c>
      <c r="D33">
        <v>3</v>
      </c>
      <c r="E33">
        <v>2</v>
      </c>
      <c r="F33">
        <v>0.9</v>
      </c>
      <c r="G33">
        <v>0.9</v>
      </c>
      <c r="H33">
        <v>5.0000000000000001E-3</v>
      </c>
      <c r="I33">
        <v>120</v>
      </c>
      <c r="J33">
        <v>100</v>
      </c>
      <c r="K33">
        <v>5.540889</v>
      </c>
      <c r="L33">
        <v>5.6646749999999999</v>
      </c>
      <c r="M33">
        <v>270.48</v>
      </c>
      <c r="N33">
        <v>92</v>
      </c>
      <c r="O33">
        <v>8</v>
      </c>
      <c r="P33">
        <v>4.5970000000000004E-3</v>
      </c>
      <c r="Q33">
        <v>3.5143559999999998</v>
      </c>
      <c r="R33">
        <v>3.5189530000000002</v>
      </c>
      <c r="S33" t="s">
        <v>137</v>
      </c>
      <c r="T33">
        <v>1.978923</v>
      </c>
      <c r="U33">
        <v>5.7442E-2</v>
      </c>
      <c r="V33">
        <v>1.024E-3</v>
      </c>
      <c r="W33">
        <v>2.261E-3</v>
      </c>
      <c r="X33">
        <v>4.3013000000000003E-2</v>
      </c>
      <c r="Y33">
        <v>63.51</v>
      </c>
      <c r="Z33" t="s">
        <v>137</v>
      </c>
      <c r="AA33">
        <v>35.71</v>
      </c>
      <c r="AB33">
        <v>1.04</v>
      </c>
      <c r="AC33">
        <v>0.02</v>
      </c>
      <c r="AD33">
        <v>0.04</v>
      </c>
      <c r="AE33">
        <v>0.78</v>
      </c>
    </row>
    <row r="34" spans="1:31" x14ac:dyDescent="0.3">
      <c r="A34" t="s">
        <v>38</v>
      </c>
      <c r="B34">
        <v>3</v>
      </c>
      <c r="C34">
        <v>3</v>
      </c>
      <c r="D34">
        <v>3</v>
      </c>
      <c r="E34">
        <v>2</v>
      </c>
      <c r="F34">
        <v>0.9</v>
      </c>
      <c r="G34">
        <v>0.9</v>
      </c>
      <c r="H34">
        <v>5.0000000000000001E-3</v>
      </c>
      <c r="I34">
        <v>120</v>
      </c>
      <c r="J34">
        <v>100</v>
      </c>
      <c r="K34">
        <v>1.6013230000000001</v>
      </c>
      <c r="L34">
        <v>1.2411760000000001</v>
      </c>
      <c r="M34">
        <v>73.45</v>
      </c>
      <c r="N34">
        <v>56</v>
      </c>
      <c r="O34">
        <v>44</v>
      </c>
      <c r="P34">
        <v>4.516E-3</v>
      </c>
      <c r="Q34">
        <v>1.20184</v>
      </c>
      <c r="R34">
        <v>1.2063550000000001</v>
      </c>
      <c r="S34" t="s">
        <v>137</v>
      </c>
      <c r="T34">
        <v>0.38753799999999999</v>
      </c>
      <c r="U34">
        <v>1.5187000000000001E-2</v>
      </c>
      <c r="V34">
        <v>1.01E-3</v>
      </c>
      <c r="W34">
        <v>5.9400000000000002E-4</v>
      </c>
      <c r="X34">
        <v>7.43E-3</v>
      </c>
      <c r="Y34">
        <v>75.33</v>
      </c>
      <c r="Z34" t="s">
        <v>137</v>
      </c>
      <c r="AA34">
        <v>24.2</v>
      </c>
      <c r="AB34">
        <v>0.95</v>
      </c>
      <c r="AC34">
        <v>0.06</v>
      </c>
      <c r="AD34">
        <v>0.04</v>
      </c>
      <c r="AE34">
        <v>0.46</v>
      </c>
    </row>
    <row r="35" spans="1:31" x14ac:dyDescent="0.3">
      <c r="A35" t="s">
        <v>39</v>
      </c>
      <c r="B35">
        <v>3</v>
      </c>
      <c r="C35">
        <v>3</v>
      </c>
      <c r="D35">
        <v>3</v>
      </c>
      <c r="E35">
        <v>2</v>
      </c>
      <c r="F35">
        <v>0.9</v>
      </c>
      <c r="G35">
        <v>0.9</v>
      </c>
      <c r="H35">
        <v>5.0000000000000001E-3</v>
      </c>
      <c r="I35">
        <v>120</v>
      </c>
      <c r="J35">
        <v>100</v>
      </c>
      <c r="K35">
        <v>2.5958060000000001</v>
      </c>
      <c r="L35">
        <v>2.0311439999999998</v>
      </c>
      <c r="M35">
        <v>120.36</v>
      </c>
      <c r="N35">
        <v>80</v>
      </c>
      <c r="O35">
        <v>20</v>
      </c>
      <c r="P35">
        <v>4.5329999999999997E-3</v>
      </c>
      <c r="Q35">
        <v>1.8906670000000001</v>
      </c>
      <c r="R35">
        <v>1.8952</v>
      </c>
      <c r="S35" t="s">
        <v>137</v>
      </c>
      <c r="T35">
        <v>0.678593</v>
      </c>
      <c r="U35">
        <v>2.5291999999999999E-2</v>
      </c>
      <c r="V35">
        <v>9.9500000000000001E-4</v>
      </c>
      <c r="W35">
        <v>9.1200000000000005E-4</v>
      </c>
      <c r="X35">
        <v>2.2013000000000001E-2</v>
      </c>
      <c r="Y35">
        <v>73.010000000000005</v>
      </c>
      <c r="Z35" t="s">
        <v>137</v>
      </c>
      <c r="AA35">
        <v>26.14</v>
      </c>
      <c r="AB35">
        <v>0.97</v>
      </c>
      <c r="AC35">
        <v>0.04</v>
      </c>
      <c r="AD35">
        <v>0.04</v>
      </c>
      <c r="AE35">
        <v>0.85</v>
      </c>
    </row>
    <row r="36" spans="1:31" x14ac:dyDescent="0.3">
      <c r="A36" t="s">
        <v>40</v>
      </c>
      <c r="B36">
        <v>3</v>
      </c>
      <c r="C36">
        <v>3</v>
      </c>
      <c r="D36">
        <v>3</v>
      </c>
      <c r="E36">
        <v>2</v>
      </c>
      <c r="F36">
        <v>0.9</v>
      </c>
      <c r="G36">
        <v>0.9</v>
      </c>
      <c r="H36">
        <v>5.0000000000000001E-3</v>
      </c>
      <c r="I36">
        <v>120</v>
      </c>
      <c r="J36">
        <v>98</v>
      </c>
      <c r="K36">
        <v>11.942183999999999</v>
      </c>
      <c r="L36">
        <v>10.535451</v>
      </c>
      <c r="M36">
        <v>582.11</v>
      </c>
      <c r="N36">
        <v>96</v>
      </c>
      <c r="O36">
        <v>2</v>
      </c>
      <c r="P36">
        <v>4.6470000000000001E-3</v>
      </c>
      <c r="Q36">
        <v>6.5207899999999999</v>
      </c>
      <c r="R36">
        <v>6.5254370000000002</v>
      </c>
      <c r="S36" t="s">
        <v>137</v>
      </c>
      <c r="T36">
        <v>5.2698320000000001</v>
      </c>
      <c r="U36">
        <v>0.124455</v>
      </c>
      <c r="V36">
        <v>1.1529999999999999E-3</v>
      </c>
      <c r="W36">
        <v>4.5180000000000003E-3</v>
      </c>
      <c r="X36">
        <v>0.14691499999999999</v>
      </c>
      <c r="Y36">
        <v>54.64</v>
      </c>
      <c r="Z36" t="s">
        <v>137</v>
      </c>
      <c r="AA36">
        <v>44.13</v>
      </c>
      <c r="AB36">
        <v>1.04</v>
      </c>
      <c r="AC36">
        <v>0.01</v>
      </c>
      <c r="AD36">
        <v>0.04</v>
      </c>
      <c r="AE36">
        <v>1.23</v>
      </c>
    </row>
    <row r="37" spans="1:31" x14ac:dyDescent="0.3">
      <c r="A37" t="s">
        <v>41</v>
      </c>
      <c r="B37">
        <v>3</v>
      </c>
      <c r="C37">
        <v>3</v>
      </c>
      <c r="D37">
        <v>3</v>
      </c>
      <c r="E37">
        <v>2</v>
      </c>
      <c r="F37">
        <v>0.9</v>
      </c>
      <c r="G37">
        <v>0.9</v>
      </c>
      <c r="H37">
        <v>5.0000000000000001E-3</v>
      </c>
      <c r="I37">
        <v>120</v>
      </c>
      <c r="J37">
        <v>100</v>
      </c>
      <c r="K37">
        <v>2.0037180000000001</v>
      </c>
      <c r="L37">
        <v>1.552902</v>
      </c>
      <c r="M37">
        <v>92.98</v>
      </c>
      <c r="N37">
        <v>71</v>
      </c>
      <c r="O37">
        <v>29</v>
      </c>
      <c r="P37">
        <v>4.5979999999999997E-3</v>
      </c>
      <c r="Q37">
        <v>1.4895179999999999</v>
      </c>
      <c r="R37">
        <v>1.494116</v>
      </c>
      <c r="S37" t="s">
        <v>137</v>
      </c>
      <c r="T37">
        <v>0.49555700000000003</v>
      </c>
      <c r="U37">
        <v>1.934E-2</v>
      </c>
      <c r="V37">
        <v>9.7900000000000005E-4</v>
      </c>
      <c r="W37">
        <v>7.67E-4</v>
      </c>
      <c r="X37">
        <v>1.4045E-2</v>
      </c>
      <c r="Y37">
        <v>74.569999999999993</v>
      </c>
      <c r="Z37" t="s">
        <v>137</v>
      </c>
      <c r="AA37">
        <v>24.73</v>
      </c>
      <c r="AB37">
        <v>0.97</v>
      </c>
      <c r="AC37">
        <v>0.05</v>
      </c>
      <c r="AD37">
        <v>0.04</v>
      </c>
      <c r="AE37">
        <v>0.7</v>
      </c>
    </row>
    <row r="38" spans="1:31" x14ac:dyDescent="0.3">
      <c r="A38" t="s">
        <v>42</v>
      </c>
      <c r="B38">
        <v>3</v>
      </c>
      <c r="C38">
        <v>3</v>
      </c>
      <c r="D38">
        <v>3</v>
      </c>
      <c r="E38">
        <v>2</v>
      </c>
      <c r="F38">
        <v>0.9</v>
      </c>
      <c r="G38">
        <v>0.9</v>
      </c>
      <c r="H38">
        <v>5.0000000000000001E-3</v>
      </c>
      <c r="I38">
        <v>120</v>
      </c>
      <c r="J38">
        <v>100</v>
      </c>
      <c r="K38">
        <v>2.4893529999999999</v>
      </c>
      <c r="L38">
        <v>2.4481799999999998</v>
      </c>
      <c r="M38">
        <v>122.17</v>
      </c>
      <c r="N38">
        <v>75</v>
      </c>
      <c r="O38">
        <v>25</v>
      </c>
      <c r="P38">
        <v>4.7019999999999996E-3</v>
      </c>
      <c r="Q38">
        <v>1.795634</v>
      </c>
      <c r="R38">
        <v>1.8003359999999999</v>
      </c>
      <c r="S38" t="s">
        <v>137</v>
      </c>
      <c r="T38">
        <v>0.67040599999999995</v>
      </c>
      <c r="U38">
        <v>2.5581E-2</v>
      </c>
      <c r="V38">
        <v>9.6699999999999998E-4</v>
      </c>
      <c r="W38">
        <v>9.2199999999999997E-4</v>
      </c>
      <c r="X38">
        <v>1.8612E-2</v>
      </c>
      <c r="Y38">
        <v>72.319999999999993</v>
      </c>
      <c r="Z38" t="s">
        <v>137</v>
      </c>
      <c r="AA38">
        <v>26.93</v>
      </c>
      <c r="AB38">
        <v>1.03</v>
      </c>
      <c r="AC38">
        <v>0.04</v>
      </c>
      <c r="AD38">
        <v>0.04</v>
      </c>
      <c r="AE38">
        <v>0.75</v>
      </c>
    </row>
    <row r="39" spans="1:31" x14ac:dyDescent="0.3">
      <c r="A39" t="s">
        <v>43</v>
      </c>
      <c r="B39">
        <v>3</v>
      </c>
      <c r="C39">
        <v>3</v>
      </c>
      <c r="D39">
        <v>3</v>
      </c>
      <c r="E39">
        <v>2</v>
      </c>
      <c r="F39">
        <v>0.9</v>
      </c>
      <c r="G39">
        <v>0.9</v>
      </c>
      <c r="H39">
        <v>5.0000000000000001E-3</v>
      </c>
      <c r="I39">
        <v>120</v>
      </c>
      <c r="J39">
        <v>100</v>
      </c>
      <c r="K39">
        <v>1.807048</v>
      </c>
      <c r="L39">
        <v>1.2717940000000001</v>
      </c>
      <c r="M39">
        <v>82.69</v>
      </c>
      <c r="N39">
        <v>69</v>
      </c>
      <c r="O39">
        <v>31</v>
      </c>
      <c r="P39">
        <v>4.5009999999999998E-3</v>
      </c>
      <c r="Q39">
        <v>1.354595</v>
      </c>
      <c r="R39">
        <v>1.3590960000000001</v>
      </c>
      <c r="S39" t="s">
        <v>137</v>
      </c>
      <c r="T39">
        <v>0.43532199999999999</v>
      </c>
      <c r="U39">
        <v>1.7038999999999999E-2</v>
      </c>
      <c r="V39">
        <v>9.8999999999999999E-4</v>
      </c>
      <c r="W39">
        <v>6.4800000000000003E-4</v>
      </c>
      <c r="X39">
        <v>1.2630000000000001E-2</v>
      </c>
      <c r="Y39">
        <v>75.209999999999994</v>
      </c>
      <c r="Z39" t="s">
        <v>137</v>
      </c>
      <c r="AA39">
        <v>24.09</v>
      </c>
      <c r="AB39">
        <v>0.94</v>
      </c>
      <c r="AC39">
        <v>0.05</v>
      </c>
      <c r="AD39">
        <v>0.04</v>
      </c>
      <c r="AE39">
        <v>0.7</v>
      </c>
    </row>
    <row r="40" spans="1:31" x14ac:dyDescent="0.3">
      <c r="A40" t="s">
        <v>44</v>
      </c>
      <c r="B40">
        <v>3</v>
      </c>
      <c r="C40">
        <v>3</v>
      </c>
      <c r="D40">
        <v>3</v>
      </c>
      <c r="E40">
        <v>2</v>
      </c>
      <c r="F40">
        <v>0.9</v>
      </c>
      <c r="G40">
        <v>0.9</v>
      </c>
      <c r="H40">
        <v>5.0000000000000001E-3</v>
      </c>
      <c r="I40">
        <v>120</v>
      </c>
      <c r="J40">
        <v>100</v>
      </c>
      <c r="K40">
        <v>3.423813</v>
      </c>
      <c r="L40">
        <v>2.63137</v>
      </c>
      <c r="M40">
        <v>160.85</v>
      </c>
      <c r="N40">
        <v>88</v>
      </c>
      <c r="O40">
        <v>12</v>
      </c>
      <c r="P40">
        <v>4.4980000000000003E-3</v>
      </c>
      <c r="Q40">
        <v>2.454297</v>
      </c>
      <c r="R40">
        <v>2.4587949999999998</v>
      </c>
      <c r="S40" t="s">
        <v>137</v>
      </c>
      <c r="T40">
        <v>0.94478399999999996</v>
      </c>
      <c r="U40">
        <v>3.3690999999999999E-2</v>
      </c>
      <c r="V40">
        <v>1.052E-3</v>
      </c>
      <c r="W40">
        <v>1.286E-3</v>
      </c>
      <c r="X40">
        <v>2.0233999999999999E-2</v>
      </c>
      <c r="Y40">
        <v>71.81</v>
      </c>
      <c r="Z40" t="s">
        <v>137</v>
      </c>
      <c r="AA40">
        <v>27.59</v>
      </c>
      <c r="AB40">
        <v>0.98</v>
      </c>
      <c r="AC40">
        <v>0.03</v>
      </c>
      <c r="AD40">
        <v>0.04</v>
      </c>
      <c r="AE40">
        <v>0.59</v>
      </c>
    </row>
    <row r="41" spans="1:31" x14ac:dyDescent="0.3">
      <c r="A41" t="s">
        <v>45</v>
      </c>
      <c r="B41">
        <v>3</v>
      </c>
      <c r="C41">
        <v>3</v>
      </c>
      <c r="D41">
        <v>3</v>
      </c>
      <c r="E41">
        <v>2</v>
      </c>
      <c r="F41">
        <v>0.9</v>
      </c>
      <c r="G41">
        <v>0.9</v>
      </c>
      <c r="H41">
        <v>5.0000000000000001E-3</v>
      </c>
      <c r="I41">
        <v>120</v>
      </c>
      <c r="J41">
        <v>100</v>
      </c>
      <c r="K41">
        <v>2.6613370000000001</v>
      </c>
      <c r="L41">
        <v>1.8660559999999999</v>
      </c>
      <c r="M41">
        <v>128.09</v>
      </c>
      <c r="N41">
        <v>80</v>
      </c>
      <c r="O41">
        <v>20</v>
      </c>
      <c r="P41">
        <v>4.463E-3</v>
      </c>
      <c r="Q41">
        <v>1.943897</v>
      </c>
      <c r="R41">
        <v>1.9483600000000001</v>
      </c>
      <c r="S41" t="s">
        <v>137</v>
      </c>
      <c r="T41">
        <v>0.692608</v>
      </c>
      <c r="U41">
        <v>2.6816E-2</v>
      </c>
      <c r="V41">
        <v>1.0560000000000001E-3</v>
      </c>
      <c r="W41">
        <v>1.0480000000000001E-3</v>
      </c>
      <c r="X41">
        <v>2.0369000000000002E-2</v>
      </c>
      <c r="Y41">
        <v>73.209999999999994</v>
      </c>
      <c r="Z41" t="s">
        <v>137</v>
      </c>
      <c r="AA41">
        <v>26.02</v>
      </c>
      <c r="AB41">
        <v>1.01</v>
      </c>
      <c r="AC41">
        <v>0.04</v>
      </c>
      <c r="AD41">
        <v>0.04</v>
      </c>
      <c r="AE41">
        <v>0.77</v>
      </c>
    </row>
    <row r="42" spans="1:31" x14ac:dyDescent="0.3">
      <c r="A42" t="s">
        <v>46</v>
      </c>
      <c r="B42">
        <v>3</v>
      </c>
      <c r="C42">
        <v>3</v>
      </c>
      <c r="D42">
        <v>3</v>
      </c>
      <c r="E42">
        <v>2</v>
      </c>
      <c r="F42">
        <v>0.9</v>
      </c>
      <c r="G42">
        <v>0.9</v>
      </c>
      <c r="H42">
        <v>5.0000000000000001E-3</v>
      </c>
      <c r="I42">
        <v>120</v>
      </c>
      <c r="J42">
        <v>100</v>
      </c>
      <c r="K42">
        <v>5.7075979999999999</v>
      </c>
      <c r="L42">
        <v>4.1205090000000002</v>
      </c>
      <c r="M42">
        <v>267.75</v>
      </c>
      <c r="N42">
        <v>98</v>
      </c>
      <c r="O42">
        <v>2</v>
      </c>
      <c r="P42">
        <v>4.5649999999999996E-3</v>
      </c>
      <c r="Q42">
        <v>3.8360729999999998</v>
      </c>
      <c r="R42">
        <v>3.8406370000000001</v>
      </c>
      <c r="S42" t="s">
        <v>137</v>
      </c>
      <c r="T42">
        <v>1.8193539999999999</v>
      </c>
      <c r="U42">
        <v>5.6619999999999997E-2</v>
      </c>
      <c r="V42">
        <v>1.005E-3</v>
      </c>
      <c r="W42">
        <v>2.1549999999999998E-3</v>
      </c>
      <c r="X42">
        <v>4.7606999999999997E-2</v>
      </c>
      <c r="Y42">
        <v>67.290000000000006</v>
      </c>
      <c r="Z42" t="s">
        <v>137</v>
      </c>
      <c r="AA42">
        <v>31.88</v>
      </c>
      <c r="AB42">
        <v>0.99</v>
      </c>
      <c r="AC42">
        <v>0.02</v>
      </c>
      <c r="AD42">
        <v>0.04</v>
      </c>
      <c r="AE42">
        <v>0.83</v>
      </c>
    </row>
    <row r="43" spans="1:31" x14ac:dyDescent="0.3">
      <c r="A43" t="s">
        <v>47</v>
      </c>
      <c r="B43">
        <v>3</v>
      </c>
      <c r="C43">
        <v>3</v>
      </c>
      <c r="D43">
        <v>3</v>
      </c>
      <c r="E43">
        <v>2</v>
      </c>
      <c r="F43">
        <v>0.9</v>
      </c>
      <c r="G43">
        <v>0.9</v>
      </c>
      <c r="H43">
        <v>5.0000000000000001E-3</v>
      </c>
      <c r="I43">
        <v>120</v>
      </c>
      <c r="J43">
        <v>100</v>
      </c>
      <c r="K43">
        <v>4.0663739999999997</v>
      </c>
      <c r="L43">
        <v>4.1141170000000002</v>
      </c>
      <c r="M43">
        <v>205.35</v>
      </c>
      <c r="N43">
        <v>89</v>
      </c>
      <c r="O43">
        <v>11</v>
      </c>
      <c r="P43">
        <v>4.6290000000000003E-3</v>
      </c>
      <c r="Q43">
        <v>2.7445499999999998</v>
      </c>
      <c r="R43">
        <v>2.7491789999999998</v>
      </c>
      <c r="S43" t="s">
        <v>137</v>
      </c>
      <c r="T43">
        <v>1.2838689999999999</v>
      </c>
      <c r="U43">
        <v>4.3298000000000003E-2</v>
      </c>
      <c r="V43">
        <v>1.0139999999999999E-3</v>
      </c>
      <c r="W43">
        <v>1.4959999999999999E-3</v>
      </c>
      <c r="X43">
        <v>3.3326000000000001E-2</v>
      </c>
      <c r="Y43">
        <v>67.61</v>
      </c>
      <c r="Z43" t="s">
        <v>137</v>
      </c>
      <c r="AA43">
        <v>31.57</v>
      </c>
      <c r="AB43">
        <v>1.06</v>
      </c>
      <c r="AC43">
        <v>0.02</v>
      </c>
      <c r="AD43">
        <v>0.04</v>
      </c>
      <c r="AE43">
        <v>0.82</v>
      </c>
    </row>
    <row r="44" spans="1:31" x14ac:dyDescent="0.3">
      <c r="A44" t="s">
        <v>48</v>
      </c>
      <c r="B44">
        <v>3</v>
      </c>
      <c r="C44">
        <v>3</v>
      </c>
      <c r="D44">
        <v>3</v>
      </c>
      <c r="E44">
        <v>2</v>
      </c>
      <c r="F44">
        <v>0.9</v>
      </c>
      <c r="G44">
        <v>0.9</v>
      </c>
      <c r="H44">
        <v>5.0000000000000001E-3</v>
      </c>
      <c r="I44">
        <v>120</v>
      </c>
      <c r="J44">
        <v>100</v>
      </c>
      <c r="K44">
        <v>2.5166599999999999</v>
      </c>
      <c r="L44">
        <v>1.760616</v>
      </c>
      <c r="M44">
        <v>115.7</v>
      </c>
      <c r="N44">
        <v>78</v>
      </c>
      <c r="O44">
        <v>22</v>
      </c>
      <c r="P44">
        <v>4.4889999999999999E-3</v>
      </c>
      <c r="Q44">
        <v>1.85758</v>
      </c>
      <c r="R44">
        <v>1.862069</v>
      </c>
      <c r="S44" t="s">
        <v>137</v>
      </c>
      <c r="T44">
        <v>0.63835500000000001</v>
      </c>
      <c r="U44">
        <v>2.4035000000000001E-2</v>
      </c>
      <c r="V44">
        <v>1.0070000000000001E-3</v>
      </c>
      <c r="W44">
        <v>9.0700000000000004E-4</v>
      </c>
      <c r="X44">
        <v>1.6237000000000001E-2</v>
      </c>
      <c r="Y44">
        <v>73.989999999999995</v>
      </c>
      <c r="Z44" t="s">
        <v>137</v>
      </c>
      <c r="AA44">
        <v>25.37</v>
      </c>
      <c r="AB44">
        <v>0.96</v>
      </c>
      <c r="AC44">
        <v>0.04</v>
      </c>
      <c r="AD44">
        <v>0.04</v>
      </c>
      <c r="AE44">
        <v>0.65</v>
      </c>
    </row>
    <row r="45" spans="1:31" x14ac:dyDescent="0.3">
      <c r="A45" t="s">
        <v>49</v>
      </c>
      <c r="B45">
        <v>3</v>
      </c>
      <c r="C45">
        <v>3</v>
      </c>
      <c r="D45">
        <v>3</v>
      </c>
      <c r="E45">
        <v>2</v>
      </c>
      <c r="F45">
        <v>0.9</v>
      </c>
      <c r="G45">
        <v>0.9</v>
      </c>
      <c r="H45">
        <v>5.0000000000000001E-3</v>
      </c>
      <c r="I45">
        <v>120</v>
      </c>
      <c r="J45">
        <v>100</v>
      </c>
      <c r="K45">
        <v>4.386285</v>
      </c>
      <c r="L45">
        <v>3.5940569999999998</v>
      </c>
      <c r="M45">
        <v>210.81</v>
      </c>
      <c r="N45">
        <v>89</v>
      </c>
      <c r="O45">
        <v>11</v>
      </c>
      <c r="P45">
        <v>4.5669999999999999E-3</v>
      </c>
      <c r="Q45">
        <v>3.023218</v>
      </c>
      <c r="R45">
        <v>3.0277850000000002</v>
      </c>
      <c r="S45" t="s">
        <v>137</v>
      </c>
      <c r="T45">
        <v>1.3227340000000001</v>
      </c>
      <c r="U45">
        <v>4.4516E-2</v>
      </c>
      <c r="V45">
        <v>1.042E-3</v>
      </c>
      <c r="W45">
        <v>1.7849999999999999E-3</v>
      </c>
      <c r="X45">
        <v>3.5764999999999998E-2</v>
      </c>
      <c r="Y45">
        <v>69.03</v>
      </c>
      <c r="Z45" t="s">
        <v>137</v>
      </c>
      <c r="AA45">
        <v>30.16</v>
      </c>
      <c r="AB45">
        <v>1.01</v>
      </c>
      <c r="AC45">
        <v>0.02</v>
      </c>
      <c r="AD45">
        <v>0.04</v>
      </c>
      <c r="AE45">
        <v>0.82</v>
      </c>
    </row>
    <row r="46" spans="1:31" x14ac:dyDescent="0.3">
      <c r="A46" t="s">
        <v>50</v>
      </c>
      <c r="B46">
        <v>3</v>
      </c>
      <c r="C46">
        <v>3</v>
      </c>
      <c r="D46">
        <v>3</v>
      </c>
      <c r="E46">
        <v>2</v>
      </c>
      <c r="F46">
        <v>0.9</v>
      </c>
      <c r="G46">
        <v>0.9</v>
      </c>
      <c r="H46">
        <v>5.0000000000000001E-3</v>
      </c>
      <c r="I46">
        <v>120</v>
      </c>
      <c r="J46">
        <v>100</v>
      </c>
      <c r="K46">
        <v>2.2835839999999998</v>
      </c>
      <c r="L46">
        <v>1.8129550000000001</v>
      </c>
      <c r="M46">
        <v>116.12</v>
      </c>
      <c r="N46">
        <v>80</v>
      </c>
      <c r="O46">
        <v>20</v>
      </c>
      <c r="P46">
        <v>4.7549999999999997E-3</v>
      </c>
      <c r="Q46">
        <v>1.6748529999999999</v>
      </c>
      <c r="R46">
        <v>1.679608</v>
      </c>
      <c r="S46" t="s">
        <v>137</v>
      </c>
      <c r="T46">
        <v>0.58996300000000002</v>
      </c>
      <c r="U46">
        <v>2.4191000000000001E-2</v>
      </c>
      <c r="V46">
        <v>9.8900000000000008E-4</v>
      </c>
      <c r="W46">
        <v>9.0300000000000005E-4</v>
      </c>
      <c r="X46">
        <v>1.4012E-2</v>
      </c>
      <c r="Y46">
        <v>73.55</v>
      </c>
      <c r="Z46" t="s">
        <v>137</v>
      </c>
      <c r="AA46">
        <v>25.83</v>
      </c>
      <c r="AB46">
        <v>1.06</v>
      </c>
      <c r="AC46">
        <v>0.04</v>
      </c>
      <c r="AD46">
        <v>0.04</v>
      </c>
      <c r="AE46">
        <v>0.61</v>
      </c>
    </row>
    <row r="47" spans="1:31" x14ac:dyDescent="0.3">
      <c r="A47" t="s">
        <v>51</v>
      </c>
      <c r="B47">
        <v>3</v>
      </c>
      <c r="C47">
        <v>3</v>
      </c>
      <c r="D47">
        <v>3</v>
      </c>
      <c r="E47">
        <v>2</v>
      </c>
      <c r="F47">
        <v>0.9</v>
      </c>
      <c r="G47">
        <v>0.9</v>
      </c>
      <c r="H47">
        <v>5.0000000000000001E-3</v>
      </c>
      <c r="I47">
        <v>120</v>
      </c>
      <c r="J47">
        <v>94</v>
      </c>
      <c r="K47">
        <v>16.270956999999999</v>
      </c>
      <c r="L47">
        <v>16.369150999999999</v>
      </c>
      <c r="M47">
        <v>765.76</v>
      </c>
      <c r="N47">
        <v>94</v>
      </c>
      <c r="O47">
        <v>0</v>
      </c>
      <c r="P47">
        <v>4.4879999999999998E-3</v>
      </c>
      <c r="Q47">
        <v>7.7683200000000001</v>
      </c>
      <c r="R47">
        <v>7.7728070000000002</v>
      </c>
      <c r="S47" t="s">
        <v>137</v>
      </c>
      <c r="T47">
        <v>8.2852390000000007</v>
      </c>
      <c r="U47">
        <v>0.16288800000000001</v>
      </c>
      <c r="V47">
        <v>1.1310000000000001E-3</v>
      </c>
      <c r="W47">
        <v>6.0080000000000003E-3</v>
      </c>
      <c r="X47">
        <v>0.21291199999999999</v>
      </c>
      <c r="Y47">
        <v>47.77</v>
      </c>
      <c r="Z47" t="s">
        <v>137</v>
      </c>
      <c r="AA47">
        <v>50.92</v>
      </c>
      <c r="AB47">
        <v>1</v>
      </c>
      <c r="AC47">
        <v>0.01</v>
      </c>
      <c r="AD47">
        <v>0.04</v>
      </c>
      <c r="AE47">
        <v>1.31</v>
      </c>
    </row>
    <row r="48" spans="1:31" x14ac:dyDescent="0.3">
      <c r="A48" t="s">
        <v>52</v>
      </c>
      <c r="B48">
        <v>3</v>
      </c>
      <c r="C48">
        <v>3</v>
      </c>
      <c r="D48">
        <v>3</v>
      </c>
      <c r="E48">
        <v>2</v>
      </c>
      <c r="F48">
        <v>0.9</v>
      </c>
      <c r="G48">
        <v>0.9</v>
      </c>
      <c r="H48">
        <v>5.0000000000000001E-3</v>
      </c>
      <c r="I48">
        <v>120</v>
      </c>
      <c r="J48">
        <v>100</v>
      </c>
      <c r="K48">
        <v>2.9486300000000001</v>
      </c>
      <c r="L48">
        <v>2.0385629999999999</v>
      </c>
      <c r="M48">
        <v>135.85</v>
      </c>
      <c r="N48">
        <v>85</v>
      </c>
      <c r="O48">
        <v>15</v>
      </c>
      <c r="P48">
        <v>4.5059999999999996E-3</v>
      </c>
      <c r="Q48">
        <v>2.1550470000000002</v>
      </c>
      <c r="R48">
        <v>2.1595529999999998</v>
      </c>
      <c r="S48" t="s">
        <v>137</v>
      </c>
      <c r="T48">
        <v>0.77335399999999999</v>
      </c>
      <c r="U48">
        <v>2.8479000000000001E-2</v>
      </c>
      <c r="V48">
        <v>9.9200000000000004E-4</v>
      </c>
      <c r="W48">
        <v>1.0629999999999999E-3</v>
      </c>
      <c r="X48">
        <v>1.5723000000000001E-2</v>
      </c>
      <c r="Y48">
        <v>73.239999999999995</v>
      </c>
      <c r="Z48" t="s">
        <v>137</v>
      </c>
      <c r="AA48">
        <v>26.23</v>
      </c>
      <c r="AB48">
        <v>0.97</v>
      </c>
      <c r="AC48">
        <v>0.03</v>
      </c>
      <c r="AD48">
        <v>0.04</v>
      </c>
      <c r="AE48">
        <v>0.53</v>
      </c>
    </row>
    <row r="49" spans="1:31" x14ac:dyDescent="0.3">
      <c r="A49" t="s">
        <v>53</v>
      </c>
      <c r="B49">
        <v>3</v>
      </c>
      <c r="C49">
        <v>3</v>
      </c>
      <c r="D49">
        <v>3</v>
      </c>
      <c r="E49">
        <v>2</v>
      </c>
      <c r="F49">
        <v>0.9</v>
      </c>
      <c r="G49">
        <v>0.9</v>
      </c>
      <c r="H49">
        <v>5.0000000000000001E-3</v>
      </c>
      <c r="I49">
        <v>120</v>
      </c>
      <c r="J49">
        <v>100</v>
      </c>
      <c r="K49">
        <v>2.7531490000000001</v>
      </c>
      <c r="L49">
        <v>2.0080909999999998</v>
      </c>
      <c r="M49">
        <v>124.07</v>
      </c>
      <c r="N49">
        <v>89</v>
      </c>
      <c r="O49">
        <v>11</v>
      </c>
      <c r="P49">
        <v>4.4790000000000003E-3</v>
      </c>
      <c r="Q49">
        <v>2.0206339999999998</v>
      </c>
      <c r="R49">
        <v>2.025112</v>
      </c>
      <c r="S49" t="s">
        <v>137</v>
      </c>
      <c r="T49">
        <v>0.70970100000000003</v>
      </c>
      <c r="U49">
        <v>2.5974000000000001E-2</v>
      </c>
      <c r="V49">
        <v>1.042E-3</v>
      </c>
      <c r="W49">
        <v>9.7499999999999996E-4</v>
      </c>
      <c r="X49">
        <v>1.8336000000000002E-2</v>
      </c>
      <c r="Y49">
        <v>73.56</v>
      </c>
      <c r="Z49" t="s">
        <v>137</v>
      </c>
      <c r="AA49">
        <v>25.78</v>
      </c>
      <c r="AB49">
        <v>0.94</v>
      </c>
      <c r="AC49">
        <v>0.04</v>
      </c>
      <c r="AD49">
        <v>0.04</v>
      </c>
      <c r="AE49">
        <v>0.67</v>
      </c>
    </row>
    <row r="50" spans="1:31" x14ac:dyDescent="0.3">
      <c r="A50" t="s">
        <v>54</v>
      </c>
      <c r="B50">
        <v>3</v>
      </c>
      <c r="C50">
        <v>3</v>
      </c>
      <c r="D50">
        <v>3</v>
      </c>
      <c r="E50">
        <v>2</v>
      </c>
      <c r="F50">
        <v>0.9</v>
      </c>
      <c r="G50">
        <v>0.9</v>
      </c>
      <c r="H50">
        <v>5.0000000000000001E-3</v>
      </c>
      <c r="I50">
        <v>120</v>
      </c>
      <c r="J50">
        <v>100</v>
      </c>
      <c r="K50">
        <v>3.6938240000000002</v>
      </c>
      <c r="L50">
        <v>3.4258869999999999</v>
      </c>
      <c r="M50">
        <v>168.58</v>
      </c>
      <c r="N50">
        <v>91</v>
      </c>
      <c r="O50">
        <v>9</v>
      </c>
      <c r="P50">
        <v>4.529E-3</v>
      </c>
      <c r="Q50">
        <v>2.5682309999999999</v>
      </c>
      <c r="R50">
        <v>2.5727600000000002</v>
      </c>
      <c r="S50" t="s">
        <v>137</v>
      </c>
      <c r="T50">
        <v>1.0970219999999999</v>
      </c>
      <c r="U50">
        <v>3.5576999999999998E-2</v>
      </c>
      <c r="V50">
        <v>9.9700000000000006E-4</v>
      </c>
      <c r="W50">
        <v>1.3290000000000001E-3</v>
      </c>
      <c r="X50">
        <v>2.4042000000000001E-2</v>
      </c>
      <c r="Y50">
        <v>69.650000000000006</v>
      </c>
      <c r="Z50" t="s">
        <v>137</v>
      </c>
      <c r="AA50">
        <v>29.7</v>
      </c>
      <c r="AB50">
        <v>0.96</v>
      </c>
      <c r="AC50">
        <v>0.03</v>
      </c>
      <c r="AD50">
        <v>0.04</v>
      </c>
      <c r="AE50">
        <v>0.65</v>
      </c>
    </row>
    <row r="51" spans="1:31" x14ac:dyDescent="0.3">
      <c r="A51" t="s">
        <v>55</v>
      </c>
      <c r="B51">
        <v>3</v>
      </c>
      <c r="C51">
        <v>3</v>
      </c>
      <c r="D51">
        <v>3</v>
      </c>
      <c r="E51">
        <v>2</v>
      </c>
      <c r="F51">
        <v>0.9</v>
      </c>
      <c r="G51">
        <v>0.9</v>
      </c>
      <c r="H51">
        <v>5.0000000000000001E-3</v>
      </c>
      <c r="I51">
        <v>120</v>
      </c>
      <c r="J51">
        <v>100</v>
      </c>
      <c r="K51">
        <v>4.1884880000000004</v>
      </c>
      <c r="L51">
        <v>3.6177329999999999</v>
      </c>
      <c r="M51">
        <v>209.02</v>
      </c>
      <c r="N51">
        <v>90</v>
      </c>
      <c r="O51">
        <v>10</v>
      </c>
      <c r="P51">
        <v>4.5019999999999999E-3</v>
      </c>
      <c r="Q51">
        <v>2.8629020000000001</v>
      </c>
      <c r="R51">
        <v>2.8674040000000001</v>
      </c>
      <c r="S51" t="s">
        <v>137</v>
      </c>
      <c r="T51">
        <v>1.2712870000000001</v>
      </c>
      <c r="U51">
        <v>4.4158999999999997E-2</v>
      </c>
      <c r="V51">
        <v>1.065E-3</v>
      </c>
      <c r="W51">
        <v>1.591E-3</v>
      </c>
      <c r="X51">
        <v>4.9797000000000001E-2</v>
      </c>
      <c r="Y51">
        <v>68.459999999999994</v>
      </c>
      <c r="Z51" t="s">
        <v>137</v>
      </c>
      <c r="AA51">
        <v>30.35</v>
      </c>
      <c r="AB51">
        <v>1.05</v>
      </c>
      <c r="AC51">
        <v>0.03</v>
      </c>
      <c r="AD51">
        <v>0.04</v>
      </c>
      <c r="AE51">
        <v>1.19</v>
      </c>
    </row>
    <row r="52" spans="1:31" x14ac:dyDescent="0.3">
      <c r="A52" t="s">
        <v>56</v>
      </c>
      <c r="B52">
        <v>3</v>
      </c>
      <c r="C52">
        <v>3</v>
      </c>
      <c r="D52">
        <v>3</v>
      </c>
      <c r="E52">
        <v>2</v>
      </c>
      <c r="F52">
        <v>0.9</v>
      </c>
      <c r="G52">
        <v>0.9</v>
      </c>
      <c r="H52">
        <v>5.0000000000000001E-3</v>
      </c>
      <c r="I52">
        <v>120</v>
      </c>
      <c r="J52">
        <v>100</v>
      </c>
      <c r="K52">
        <v>3.3828019999999999</v>
      </c>
      <c r="L52">
        <v>3.4597889999999998</v>
      </c>
      <c r="M52">
        <v>153.21</v>
      </c>
      <c r="N52">
        <v>83</v>
      </c>
      <c r="O52">
        <v>17</v>
      </c>
      <c r="P52">
        <v>4.4250000000000001E-3</v>
      </c>
      <c r="Q52">
        <v>2.3378060000000001</v>
      </c>
      <c r="R52">
        <v>2.342231</v>
      </c>
      <c r="S52" t="s">
        <v>137</v>
      </c>
      <c r="T52">
        <v>1.0115449999999999</v>
      </c>
      <c r="U52">
        <v>3.2252000000000003E-2</v>
      </c>
      <c r="V52">
        <v>1.0759999999999999E-3</v>
      </c>
      <c r="W52">
        <v>1.2310000000000001E-3</v>
      </c>
      <c r="X52">
        <v>2.9026E-2</v>
      </c>
      <c r="Y52">
        <v>69.239999999999995</v>
      </c>
      <c r="Z52" t="s">
        <v>137</v>
      </c>
      <c r="AA52">
        <v>29.9</v>
      </c>
      <c r="AB52">
        <v>0.95</v>
      </c>
      <c r="AC52">
        <v>0.03</v>
      </c>
      <c r="AD52">
        <v>0.04</v>
      </c>
      <c r="AE52">
        <v>0.86</v>
      </c>
    </row>
    <row r="53" spans="1:31" x14ac:dyDescent="0.3">
      <c r="A53" t="s">
        <v>57</v>
      </c>
      <c r="B53">
        <v>3</v>
      </c>
      <c r="C53">
        <v>3</v>
      </c>
      <c r="D53">
        <v>3</v>
      </c>
      <c r="E53">
        <v>2</v>
      </c>
      <c r="F53">
        <v>0.9</v>
      </c>
      <c r="G53">
        <v>0.9</v>
      </c>
      <c r="H53">
        <v>5.0000000000000001E-3</v>
      </c>
      <c r="I53">
        <v>120</v>
      </c>
      <c r="J53">
        <v>100</v>
      </c>
      <c r="K53">
        <v>2.2972079999999999</v>
      </c>
      <c r="L53">
        <v>1.656153</v>
      </c>
      <c r="M53">
        <v>101.09</v>
      </c>
      <c r="N53">
        <v>80</v>
      </c>
      <c r="O53">
        <v>20</v>
      </c>
      <c r="P53">
        <v>4.5519999999999996E-3</v>
      </c>
      <c r="Q53">
        <v>1.7024570000000001</v>
      </c>
      <c r="R53">
        <v>1.7070099999999999</v>
      </c>
      <c r="S53" t="s">
        <v>137</v>
      </c>
      <c r="T53">
        <v>0.57613000000000003</v>
      </c>
      <c r="U53">
        <v>2.1245E-2</v>
      </c>
      <c r="V53">
        <v>1.0189999999999999E-3</v>
      </c>
      <c r="W53">
        <v>8.0900000000000004E-4</v>
      </c>
      <c r="X53">
        <v>1.4068000000000001E-2</v>
      </c>
      <c r="Y53">
        <v>74.31</v>
      </c>
      <c r="Z53" t="s">
        <v>137</v>
      </c>
      <c r="AA53">
        <v>25.08</v>
      </c>
      <c r="AB53">
        <v>0.92</v>
      </c>
      <c r="AC53">
        <v>0.04</v>
      </c>
      <c r="AD53">
        <v>0.04</v>
      </c>
      <c r="AE53">
        <v>0.61</v>
      </c>
    </row>
    <row r="54" spans="1:31" x14ac:dyDescent="0.3">
      <c r="A54" t="s">
        <v>58</v>
      </c>
      <c r="B54">
        <v>3</v>
      </c>
      <c r="C54">
        <v>3</v>
      </c>
      <c r="D54">
        <v>3</v>
      </c>
      <c r="E54">
        <v>2</v>
      </c>
      <c r="F54">
        <v>0.9</v>
      </c>
      <c r="G54">
        <v>0.9</v>
      </c>
      <c r="H54">
        <v>5.0000000000000001E-3</v>
      </c>
      <c r="I54">
        <v>120</v>
      </c>
      <c r="J54">
        <v>100</v>
      </c>
      <c r="K54">
        <v>7.0375310000000004</v>
      </c>
      <c r="L54">
        <v>5.5945299999999998</v>
      </c>
      <c r="M54">
        <v>318.14</v>
      </c>
      <c r="N54">
        <v>100</v>
      </c>
      <c r="O54">
        <v>0</v>
      </c>
      <c r="P54">
        <v>4.4799999999999996E-3</v>
      </c>
      <c r="Q54">
        <v>4.5286169999999997</v>
      </c>
      <c r="R54">
        <v>4.5330969999999997</v>
      </c>
      <c r="S54" t="s">
        <v>137</v>
      </c>
      <c r="T54">
        <v>2.4434290000000001</v>
      </c>
      <c r="U54">
        <v>6.8003999999999995E-2</v>
      </c>
      <c r="V54">
        <v>1.0759999999999999E-3</v>
      </c>
      <c r="W54">
        <v>2.4759999999999999E-3</v>
      </c>
      <c r="X54">
        <v>6.1004999999999997E-2</v>
      </c>
      <c r="Y54">
        <v>64.41</v>
      </c>
      <c r="Z54" t="s">
        <v>137</v>
      </c>
      <c r="AA54">
        <v>34.72</v>
      </c>
      <c r="AB54">
        <v>0.97</v>
      </c>
      <c r="AC54">
        <v>0.02</v>
      </c>
      <c r="AD54">
        <v>0.04</v>
      </c>
      <c r="AE54">
        <v>0.87</v>
      </c>
    </row>
    <row r="55" spans="1:31" x14ac:dyDescent="0.3">
      <c r="A55" t="s">
        <v>59</v>
      </c>
      <c r="B55">
        <v>3</v>
      </c>
      <c r="C55">
        <v>3</v>
      </c>
      <c r="D55">
        <v>3</v>
      </c>
      <c r="E55">
        <v>2</v>
      </c>
      <c r="F55">
        <v>0.9</v>
      </c>
      <c r="G55">
        <v>0.9</v>
      </c>
      <c r="H55">
        <v>5.0000000000000001E-3</v>
      </c>
      <c r="I55">
        <v>120</v>
      </c>
      <c r="J55">
        <v>100</v>
      </c>
      <c r="K55">
        <v>1.3433660000000001</v>
      </c>
      <c r="L55">
        <v>1.109634</v>
      </c>
      <c r="M55">
        <v>64.099999999999994</v>
      </c>
      <c r="N55">
        <v>48</v>
      </c>
      <c r="O55">
        <v>52</v>
      </c>
      <c r="P55">
        <v>4.5110000000000003E-3</v>
      </c>
      <c r="Q55">
        <v>1.0071349999999999</v>
      </c>
      <c r="R55">
        <v>1.011646</v>
      </c>
      <c r="S55" t="s">
        <v>137</v>
      </c>
      <c r="T55">
        <v>0.32628699999999999</v>
      </c>
      <c r="U55">
        <v>1.3181E-2</v>
      </c>
      <c r="V55">
        <v>9.6000000000000002E-4</v>
      </c>
      <c r="W55">
        <v>4.6500000000000003E-4</v>
      </c>
      <c r="X55">
        <v>5.4320000000000002E-3</v>
      </c>
      <c r="Y55">
        <v>75.31</v>
      </c>
      <c r="Z55" t="s">
        <v>137</v>
      </c>
      <c r="AA55">
        <v>24.29</v>
      </c>
      <c r="AB55">
        <v>0.98</v>
      </c>
      <c r="AC55">
        <v>7.0000000000000007E-2</v>
      </c>
      <c r="AD55">
        <v>0.03</v>
      </c>
      <c r="AE55">
        <v>0.4</v>
      </c>
    </row>
    <row r="56" spans="1:31" x14ac:dyDescent="0.3">
      <c r="A56" t="s">
        <v>60</v>
      </c>
      <c r="B56">
        <v>3</v>
      </c>
      <c r="C56">
        <v>3</v>
      </c>
      <c r="D56">
        <v>3</v>
      </c>
      <c r="E56">
        <v>2</v>
      </c>
      <c r="F56">
        <v>0.9</v>
      </c>
      <c r="G56">
        <v>0.9</v>
      </c>
      <c r="H56">
        <v>5.0000000000000001E-3</v>
      </c>
      <c r="I56">
        <v>120</v>
      </c>
      <c r="J56">
        <v>100</v>
      </c>
      <c r="K56">
        <v>2.2588499999999998</v>
      </c>
      <c r="L56">
        <v>1.991109</v>
      </c>
      <c r="M56">
        <v>102.42</v>
      </c>
      <c r="N56">
        <v>73</v>
      </c>
      <c r="O56">
        <v>27</v>
      </c>
      <c r="P56">
        <v>4.4999999999999997E-3</v>
      </c>
      <c r="Q56">
        <v>1.657119</v>
      </c>
      <c r="R56">
        <v>1.661619</v>
      </c>
      <c r="S56" t="s">
        <v>137</v>
      </c>
      <c r="T56">
        <v>0.58220799999999995</v>
      </c>
      <c r="U56">
        <v>2.1429E-2</v>
      </c>
      <c r="V56">
        <v>1.031E-3</v>
      </c>
      <c r="W56">
        <v>8.0900000000000004E-4</v>
      </c>
      <c r="X56">
        <v>1.5023999999999999E-2</v>
      </c>
      <c r="Y56">
        <v>73.56</v>
      </c>
      <c r="Z56" t="s">
        <v>137</v>
      </c>
      <c r="AA56">
        <v>25.77</v>
      </c>
      <c r="AB56">
        <v>0.95</v>
      </c>
      <c r="AC56">
        <v>0.05</v>
      </c>
      <c r="AD56">
        <v>0.04</v>
      </c>
      <c r="AE56">
        <v>0.67</v>
      </c>
    </row>
    <row r="57" spans="1:31" x14ac:dyDescent="0.3">
      <c r="A57" t="s">
        <v>61</v>
      </c>
      <c r="B57">
        <v>3</v>
      </c>
      <c r="C57">
        <v>3</v>
      </c>
      <c r="D57">
        <v>3</v>
      </c>
      <c r="E57">
        <v>2</v>
      </c>
      <c r="F57">
        <v>0.9</v>
      </c>
      <c r="G57">
        <v>0.9</v>
      </c>
      <c r="H57">
        <v>5.0000000000000001E-3</v>
      </c>
      <c r="I57">
        <v>120</v>
      </c>
      <c r="J57">
        <v>100</v>
      </c>
      <c r="K57">
        <v>1.979514</v>
      </c>
      <c r="L57">
        <v>1.4095340000000001</v>
      </c>
      <c r="M57">
        <v>93.44</v>
      </c>
      <c r="N57">
        <v>72</v>
      </c>
      <c r="O57">
        <v>28</v>
      </c>
      <c r="P57">
        <v>4.5900000000000003E-3</v>
      </c>
      <c r="Q57">
        <v>1.4808889999999999</v>
      </c>
      <c r="R57">
        <v>1.485479</v>
      </c>
      <c r="S57" t="s">
        <v>137</v>
      </c>
      <c r="T57">
        <v>0.48599199999999998</v>
      </c>
      <c r="U57">
        <v>1.9536000000000001E-2</v>
      </c>
      <c r="V57">
        <v>1.01E-3</v>
      </c>
      <c r="W57">
        <v>7.3899999999999997E-4</v>
      </c>
      <c r="X57">
        <v>8.0440000000000008E-3</v>
      </c>
      <c r="Y57">
        <v>75.040000000000006</v>
      </c>
      <c r="Z57" t="s">
        <v>137</v>
      </c>
      <c r="AA57">
        <v>24.55</v>
      </c>
      <c r="AB57">
        <v>0.99</v>
      </c>
      <c r="AC57">
        <v>0.05</v>
      </c>
      <c r="AD57">
        <v>0.04</v>
      </c>
      <c r="AE57">
        <v>0.41</v>
      </c>
    </row>
    <row r="58" spans="1:31" x14ac:dyDescent="0.3">
      <c r="A58" t="s">
        <v>62</v>
      </c>
      <c r="B58">
        <v>3</v>
      </c>
      <c r="C58">
        <v>3</v>
      </c>
      <c r="D58">
        <v>3</v>
      </c>
      <c r="E58">
        <v>2</v>
      </c>
      <c r="F58">
        <v>0.9</v>
      </c>
      <c r="G58">
        <v>0.9</v>
      </c>
      <c r="H58">
        <v>5.0000000000000001E-3</v>
      </c>
      <c r="I58">
        <v>120</v>
      </c>
      <c r="J58">
        <v>100</v>
      </c>
      <c r="K58">
        <v>12.290132</v>
      </c>
      <c r="L58">
        <v>13.780607</v>
      </c>
      <c r="M58">
        <v>557.88</v>
      </c>
      <c r="N58">
        <v>99</v>
      </c>
      <c r="O58">
        <v>1</v>
      </c>
      <c r="P58">
        <v>4.4330000000000003E-3</v>
      </c>
      <c r="Q58">
        <v>6.5279299999999996</v>
      </c>
      <c r="R58">
        <v>6.5323630000000001</v>
      </c>
      <c r="S58" t="s">
        <v>137</v>
      </c>
      <c r="T58">
        <v>5.6218190000000003</v>
      </c>
      <c r="U58">
        <v>0.119658</v>
      </c>
      <c r="V58">
        <v>1.1039999999999999E-3</v>
      </c>
      <c r="W58">
        <v>4.4929999999999996E-3</v>
      </c>
      <c r="X58">
        <v>0.13594899999999999</v>
      </c>
      <c r="Y58">
        <v>53.15</v>
      </c>
      <c r="Z58" t="s">
        <v>137</v>
      </c>
      <c r="AA58">
        <v>45.74</v>
      </c>
      <c r="AB58">
        <v>0.97</v>
      </c>
      <c r="AC58">
        <v>0.01</v>
      </c>
      <c r="AD58">
        <v>0.04</v>
      </c>
      <c r="AE58">
        <v>1.1100000000000001</v>
      </c>
    </row>
    <row r="59" spans="1:31" x14ac:dyDescent="0.3">
      <c r="A59" t="s">
        <v>63</v>
      </c>
      <c r="B59">
        <v>3</v>
      </c>
      <c r="C59">
        <v>3</v>
      </c>
      <c r="D59">
        <v>3</v>
      </c>
      <c r="E59">
        <v>2</v>
      </c>
      <c r="F59">
        <v>0.9</v>
      </c>
      <c r="G59">
        <v>0.9</v>
      </c>
      <c r="H59">
        <v>5.0000000000000001E-3</v>
      </c>
      <c r="I59">
        <v>120</v>
      </c>
      <c r="J59">
        <v>100</v>
      </c>
      <c r="K59">
        <v>2.2999429999999998</v>
      </c>
      <c r="L59">
        <v>1.8636779999999999</v>
      </c>
      <c r="M59">
        <v>105.79</v>
      </c>
      <c r="N59">
        <v>77</v>
      </c>
      <c r="O59">
        <v>23</v>
      </c>
      <c r="P59">
        <v>4.424E-3</v>
      </c>
      <c r="Q59">
        <v>1.686509</v>
      </c>
      <c r="R59">
        <v>1.690933</v>
      </c>
      <c r="S59" t="s">
        <v>137</v>
      </c>
      <c r="T59">
        <v>0.59063299999999996</v>
      </c>
      <c r="U59">
        <v>2.2061000000000001E-2</v>
      </c>
      <c r="V59">
        <v>9.9500000000000001E-4</v>
      </c>
      <c r="W59">
        <v>8.4999999999999995E-4</v>
      </c>
      <c r="X59">
        <v>1.8376E-2</v>
      </c>
      <c r="Y59">
        <v>73.52</v>
      </c>
      <c r="Z59" t="s">
        <v>137</v>
      </c>
      <c r="AA59">
        <v>25.68</v>
      </c>
      <c r="AB59">
        <v>0.96</v>
      </c>
      <c r="AC59">
        <v>0.04</v>
      </c>
      <c r="AD59">
        <v>0.04</v>
      </c>
      <c r="AE59">
        <v>0.8</v>
      </c>
    </row>
    <row r="60" spans="1:31" x14ac:dyDescent="0.3">
      <c r="A60" t="s">
        <v>64</v>
      </c>
      <c r="B60">
        <v>3</v>
      </c>
      <c r="C60">
        <v>3</v>
      </c>
      <c r="D60">
        <v>3</v>
      </c>
      <c r="E60">
        <v>2</v>
      </c>
      <c r="F60">
        <v>0.9</v>
      </c>
      <c r="G60">
        <v>0.9</v>
      </c>
      <c r="H60">
        <v>5.0000000000000001E-3</v>
      </c>
      <c r="I60">
        <v>120</v>
      </c>
      <c r="J60">
        <v>100</v>
      </c>
      <c r="K60">
        <v>6.1383960000000002</v>
      </c>
      <c r="L60">
        <v>6.6027889999999996</v>
      </c>
      <c r="M60">
        <v>297.31</v>
      </c>
      <c r="N60">
        <v>94</v>
      </c>
      <c r="O60">
        <v>6</v>
      </c>
      <c r="P60">
        <v>4.5450000000000004E-3</v>
      </c>
      <c r="Q60">
        <v>3.7968350000000002</v>
      </c>
      <c r="R60">
        <v>3.80138</v>
      </c>
      <c r="S60" t="s">
        <v>137</v>
      </c>
      <c r="T60">
        <v>2.2684760000000002</v>
      </c>
      <c r="U60">
        <v>6.3630999999999993E-2</v>
      </c>
      <c r="V60">
        <v>1.0380000000000001E-3</v>
      </c>
      <c r="W60">
        <v>2.3909999999999999E-3</v>
      </c>
      <c r="X60">
        <v>6.8539000000000003E-2</v>
      </c>
      <c r="Y60">
        <v>61.93</v>
      </c>
      <c r="Z60" t="s">
        <v>137</v>
      </c>
      <c r="AA60">
        <v>36.96</v>
      </c>
      <c r="AB60">
        <v>1.04</v>
      </c>
      <c r="AC60">
        <v>0.02</v>
      </c>
      <c r="AD60">
        <v>0.04</v>
      </c>
      <c r="AE60">
        <v>1.1200000000000001</v>
      </c>
    </row>
    <row r="61" spans="1:31" x14ac:dyDescent="0.3">
      <c r="A61" t="s">
        <v>65</v>
      </c>
      <c r="B61">
        <v>3</v>
      </c>
      <c r="C61">
        <v>3</v>
      </c>
      <c r="D61">
        <v>3</v>
      </c>
      <c r="E61">
        <v>2</v>
      </c>
      <c r="F61">
        <v>0.9</v>
      </c>
      <c r="G61">
        <v>0.9</v>
      </c>
      <c r="H61">
        <v>5.0000000000000001E-3</v>
      </c>
      <c r="I61">
        <v>120</v>
      </c>
      <c r="J61">
        <v>100</v>
      </c>
      <c r="K61">
        <v>1.0922289999999999</v>
      </c>
      <c r="L61">
        <v>0.78785000000000005</v>
      </c>
      <c r="M61">
        <v>50.51</v>
      </c>
      <c r="N61">
        <v>36</v>
      </c>
      <c r="O61">
        <v>64</v>
      </c>
      <c r="P61">
        <v>4.5040000000000002E-3</v>
      </c>
      <c r="Q61">
        <v>0.82628299999999999</v>
      </c>
      <c r="R61">
        <v>0.83078700000000005</v>
      </c>
      <c r="S61" t="s">
        <v>137</v>
      </c>
      <c r="T61">
        <v>0.25808300000000001</v>
      </c>
      <c r="U61">
        <v>1.0314E-2</v>
      </c>
      <c r="V61">
        <v>8.9099999999999997E-4</v>
      </c>
      <c r="W61">
        <v>3.8900000000000002E-4</v>
      </c>
      <c r="X61">
        <v>3.3600000000000001E-3</v>
      </c>
      <c r="Y61">
        <v>76.06</v>
      </c>
      <c r="Z61" t="s">
        <v>137</v>
      </c>
      <c r="AA61">
        <v>23.63</v>
      </c>
      <c r="AB61">
        <v>0.94</v>
      </c>
      <c r="AC61">
        <v>0.08</v>
      </c>
      <c r="AD61">
        <v>0.04</v>
      </c>
      <c r="AE61">
        <v>0.31</v>
      </c>
    </row>
    <row r="62" spans="1:31" x14ac:dyDescent="0.3">
      <c r="A62" t="s">
        <v>66</v>
      </c>
      <c r="B62">
        <v>3</v>
      </c>
      <c r="C62">
        <v>3</v>
      </c>
      <c r="D62">
        <v>3</v>
      </c>
      <c r="E62">
        <v>2</v>
      </c>
      <c r="F62">
        <v>0.9</v>
      </c>
      <c r="G62">
        <v>0.9</v>
      </c>
      <c r="H62">
        <v>5.0000000000000001E-3</v>
      </c>
      <c r="I62">
        <v>120</v>
      </c>
      <c r="J62">
        <v>100</v>
      </c>
      <c r="K62">
        <v>2.628949</v>
      </c>
      <c r="L62">
        <v>2.6501929999999998</v>
      </c>
      <c r="M62">
        <v>125.53</v>
      </c>
      <c r="N62">
        <v>79</v>
      </c>
      <c r="O62">
        <v>21</v>
      </c>
      <c r="P62">
        <v>4.6179999999999997E-3</v>
      </c>
      <c r="Q62">
        <v>1.88862</v>
      </c>
      <c r="R62">
        <v>1.893238</v>
      </c>
      <c r="S62" t="s">
        <v>137</v>
      </c>
      <c r="T62">
        <v>0.71745999999999999</v>
      </c>
      <c r="U62">
        <v>2.6575999999999999E-2</v>
      </c>
      <c r="V62">
        <v>9.2500000000000004E-4</v>
      </c>
      <c r="W62">
        <v>1.013E-3</v>
      </c>
      <c r="X62">
        <v>1.8251E-2</v>
      </c>
      <c r="Y62">
        <v>72.02</v>
      </c>
      <c r="Z62" t="s">
        <v>137</v>
      </c>
      <c r="AA62">
        <v>27.29</v>
      </c>
      <c r="AB62">
        <v>1.01</v>
      </c>
      <c r="AC62">
        <v>0.04</v>
      </c>
      <c r="AD62">
        <v>0.04</v>
      </c>
      <c r="AE62">
        <v>0.69</v>
      </c>
    </row>
    <row r="63" spans="1:31" x14ac:dyDescent="0.3">
      <c r="A63" t="s">
        <v>67</v>
      </c>
      <c r="B63">
        <v>3</v>
      </c>
      <c r="C63">
        <v>3</v>
      </c>
      <c r="D63">
        <v>3</v>
      </c>
      <c r="E63">
        <v>2</v>
      </c>
      <c r="F63">
        <v>0.9</v>
      </c>
      <c r="G63">
        <v>0.9</v>
      </c>
      <c r="H63">
        <v>5.0000000000000001E-3</v>
      </c>
      <c r="I63">
        <v>120</v>
      </c>
      <c r="J63">
        <v>100</v>
      </c>
      <c r="K63">
        <v>4.7825049999999996</v>
      </c>
      <c r="L63">
        <v>4.5867789999999999</v>
      </c>
      <c r="M63">
        <v>223.11</v>
      </c>
      <c r="N63">
        <v>92</v>
      </c>
      <c r="O63">
        <v>8</v>
      </c>
      <c r="P63">
        <v>4.5259999999999996E-3</v>
      </c>
      <c r="Q63">
        <v>3.202474</v>
      </c>
      <c r="R63">
        <v>3.2069999999999999</v>
      </c>
      <c r="S63" t="s">
        <v>137</v>
      </c>
      <c r="T63">
        <v>1.5448630000000001</v>
      </c>
      <c r="U63">
        <v>4.7591000000000001E-2</v>
      </c>
      <c r="V63">
        <v>1.091E-3</v>
      </c>
      <c r="W63">
        <v>1.7539999999999999E-3</v>
      </c>
      <c r="X63">
        <v>3.0641000000000002E-2</v>
      </c>
      <c r="Y63">
        <v>67.06</v>
      </c>
      <c r="Z63" t="s">
        <v>137</v>
      </c>
      <c r="AA63">
        <v>32.299999999999997</v>
      </c>
      <c r="AB63">
        <v>1</v>
      </c>
      <c r="AC63">
        <v>0.02</v>
      </c>
      <c r="AD63">
        <v>0.04</v>
      </c>
      <c r="AE63">
        <v>0.64</v>
      </c>
    </row>
    <row r="64" spans="1:31" x14ac:dyDescent="0.3">
      <c r="A64" t="s">
        <v>68</v>
      </c>
      <c r="B64">
        <v>3</v>
      </c>
      <c r="C64">
        <v>3</v>
      </c>
      <c r="D64">
        <v>3</v>
      </c>
      <c r="E64">
        <v>2</v>
      </c>
      <c r="F64">
        <v>0.9</v>
      </c>
      <c r="G64">
        <v>0.9</v>
      </c>
      <c r="H64">
        <v>5.0000000000000001E-3</v>
      </c>
      <c r="I64">
        <v>120</v>
      </c>
      <c r="J64">
        <v>100</v>
      </c>
      <c r="K64">
        <v>5.007358</v>
      </c>
      <c r="L64">
        <v>4.2399089999999999</v>
      </c>
      <c r="M64">
        <v>219.86</v>
      </c>
      <c r="N64">
        <v>91</v>
      </c>
      <c r="O64">
        <v>9</v>
      </c>
      <c r="P64">
        <v>4.4889999999999999E-3</v>
      </c>
      <c r="Q64">
        <v>3.3786849999999999</v>
      </c>
      <c r="R64">
        <v>3.3831739999999999</v>
      </c>
      <c r="S64" t="s">
        <v>137</v>
      </c>
      <c r="T64">
        <v>1.5854060000000001</v>
      </c>
      <c r="U64">
        <v>4.6842000000000002E-2</v>
      </c>
      <c r="V64">
        <v>1.052E-3</v>
      </c>
      <c r="W64">
        <v>1.9449999999999999E-3</v>
      </c>
      <c r="X64">
        <v>3.8778E-2</v>
      </c>
      <c r="Y64">
        <v>67.56</v>
      </c>
      <c r="Z64" t="s">
        <v>137</v>
      </c>
      <c r="AA64">
        <v>31.66</v>
      </c>
      <c r="AB64">
        <v>0.94</v>
      </c>
      <c r="AC64">
        <v>0.02</v>
      </c>
      <c r="AD64">
        <v>0.04</v>
      </c>
      <c r="AE64">
        <v>0.77</v>
      </c>
    </row>
    <row r="65" spans="1:31" x14ac:dyDescent="0.3">
      <c r="A65" t="s">
        <v>69</v>
      </c>
      <c r="B65">
        <v>3</v>
      </c>
      <c r="C65">
        <v>3</v>
      </c>
      <c r="D65">
        <v>3</v>
      </c>
      <c r="E65">
        <v>2</v>
      </c>
      <c r="F65">
        <v>0.9</v>
      </c>
      <c r="G65">
        <v>0.9</v>
      </c>
      <c r="H65">
        <v>5.0000000000000001E-3</v>
      </c>
      <c r="I65">
        <v>120</v>
      </c>
      <c r="J65">
        <v>100</v>
      </c>
      <c r="K65">
        <v>1.9777610000000001</v>
      </c>
      <c r="L65">
        <v>1.3155490000000001</v>
      </c>
      <c r="M65">
        <v>91.13</v>
      </c>
      <c r="N65">
        <v>73</v>
      </c>
      <c r="O65">
        <v>27</v>
      </c>
      <c r="P65">
        <v>4.4299999999999999E-3</v>
      </c>
      <c r="Q65">
        <v>1.47984</v>
      </c>
      <c r="R65">
        <v>1.48427</v>
      </c>
      <c r="S65" t="s">
        <v>137</v>
      </c>
      <c r="T65">
        <v>0.48260999999999998</v>
      </c>
      <c r="U65">
        <v>1.9016000000000002E-2</v>
      </c>
      <c r="V65">
        <v>1.039E-3</v>
      </c>
      <c r="W65">
        <v>6.96E-4</v>
      </c>
      <c r="X65">
        <v>1.0881E-2</v>
      </c>
      <c r="Y65">
        <v>75.05</v>
      </c>
      <c r="Z65" t="s">
        <v>137</v>
      </c>
      <c r="AA65">
        <v>24.4</v>
      </c>
      <c r="AB65">
        <v>0.96</v>
      </c>
      <c r="AC65">
        <v>0.05</v>
      </c>
      <c r="AD65">
        <v>0.04</v>
      </c>
      <c r="AE65">
        <v>0.55000000000000004</v>
      </c>
    </row>
    <row r="66" spans="1:31" x14ac:dyDescent="0.3">
      <c r="A66" t="s">
        <v>70</v>
      </c>
      <c r="B66">
        <v>3</v>
      </c>
      <c r="C66">
        <v>3</v>
      </c>
      <c r="D66">
        <v>3</v>
      </c>
      <c r="E66">
        <v>2</v>
      </c>
      <c r="F66">
        <v>0.9</v>
      </c>
      <c r="G66">
        <v>0.9</v>
      </c>
      <c r="H66">
        <v>5.0000000000000001E-3</v>
      </c>
      <c r="I66">
        <v>120</v>
      </c>
      <c r="J66">
        <v>100</v>
      </c>
      <c r="K66">
        <v>1.4730000000000001</v>
      </c>
      <c r="L66">
        <v>1.171136</v>
      </c>
      <c r="M66">
        <v>71.319999999999993</v>
      </c>
      <c r="N66">
        <v>54</v>
      </c>
      <c r="O66">
        <v>46</v>
      </c>
      <c r="P66">
        <v>4.522E-3</v>
      </c>
      <c r="Q66">
        <v>1.09843</v>
      </c>
      <c r="R66">
        <v>1.1029519999999999</v>
      </c>
      <c r="S66" t="s">
        <v>137</v>
      </c>
      <c r="T66">
        <v>0.359352</v>
      </c>
      <c r="U66">
        <v>1.4755000000000001E-2</v>
      </c>
      <c r="V66">
        <v>9.8799999999999995E-4</v>
      </c>
      <c r="W66">
        <v>5.3499999999999999E-4</v>
      </c>
      <c r="X66">
        <v>1.0696000000000001E-2</v>
      </c>
      <c r="Y66">
        <v>74.88</v>
      </c>
      <c r="Z66" t="s">
        <v>137</v>
      </c>
      <c r="AA66">
        <v>24.4</v>
      </c>
      <c r="AB66">
        <v>1</v>
      </c>
      <c r="AC66">
        <v>7.0000000000000007E-2</v>
      </c>
      <c r="AD66">
        <v>0.04</v>
      </c>
      <c r="AE66">
        <v>0.73</v>
      </c>
    </row>
    <row r="67" spans="1:31" x14ac:dyDescent="0.3">
      <c r="A67" t="s">
        <v>71</v>
      </c>
      <c r="B67">
        <v>3</v>
      </c>
      <c r="C67">
        <v>3</v>
      </c>
      <c r="D67">
        <v>3</v>
      </c>
      <c r="E67">
        <v>2</v>
      </c>
      <c r="F67">
        <v>0.9</v>
      </c>
      <c r="G67">
        <v>0.9</v>
      </c>
      <c r="H67">
        <v>5.0000000000000001E-3</v>
      </c>
      <c r="I67">
        <v>120</v>
      </c>
      <c r="J67">
        <v>100</v>
      </c>
      <c r="K67">
        <v>6.3275839999999999</v>
      </c>
      <c r="L67">
        <v>5.7448870000000003</v>
      </c>
      <c r="M67">
        <v>283.19</v>
      </c>
      <c r="N67">
        <v>99</v>
      </c>
      <c r="O67">
        <v>1</v>
      </c>
      <c r="P67">
        <v>4.3899999999999998E-3</v>
      </c>
      <c r="Q67">
        <v>4.0914840000000003</v>
      </c>
      <c r="R67">
        <v>4.0958740000000002</v>
      </c>
      <c r="S67" t="s">
        <v>137</v>
      </c>
      <c r="T67">
        <v>2.1736080000000002</v>
      </c>
      <c r="U67">
        <v>6.0455000000000002E-2</v>
      </c>
      <c r="V67">
        <v>1.09E-3</v>
      </c>
      <c r="W67">
        <v>2.3E-3</v>
      </c>
      <c r="X67">
        <v>5.8102000000000001E-2</v>
      </c>
      <c r="Y67">
        <v>64.73</v>
      </c>
      <c r="Z67" t="s">
        <v>137</v>
      </c>
      <c r="AA67">
        <v>34.35</v>
      </c>
      <c r="AB67">
        <v>0.96</v>
      </c>
      <c r="AC67">
        <v>0.02</v>
      </c>
      <c r="AD67">
        <v>0.04</v>
      </c>
      <c r="AE67">
        <v>0.92</v>
      </c>
    </row>
    <row r="68" spans="1:31" x14ac:dyDescent="0.3">
      <c r="A68" t="s">
        <v>72</v>
      </c>
      <c r="B68">
        <v>3</v>
      </c>
      <c r="C68">
        <v>3</v>
      </c>
      <c r="D68">
        <v>3</v>
      </c>
      <c r="E68">
        <v>2</v>
      </c>
      <c r="F68">
        <v>0.9</v>
      </c>
      <c r="G68">
        <v>0.9</v>
      </c>
      <c r="H68">
        <v>5.0000000000000001E-3</v>
      </c>
      <c r="I68">
        <v>120</v>
      </c>
      <c r="J68">
        <v>100</v>
      </c>
      <c r="K68">
        <v>3.368709</v>
      </c>
      <c r="L68">
        <v>2.6802220000000001</v>
      </c>
      <c r="M68">
        <v>152.84</v>
      </c>
      <c r="N68">
        <v>89</v>
      </c>
      <c r="O68">
        <v>11</v>
      </c>
      <c r="P68">
        <v>4.5199999999999997E-3</v>
      </c>
      <c r="Q68">
        <v>2.409713</v>
      </c>
      <c r="R68">
        <v>2.4142329999999999</v>
      </c>
      <c r="S68" t="s">
        <v>137</v>
      </c>
      <c r="T68">
        <v>0.93325999999999998</v>
      </c>
      <c r="U68">
        <v>3.2485E-2</v>
      </c>
      <c r="V68">
        <v>9.77E-4</v>
      </c>
      <c r="W68">
        <v>1.2639999999999999E-3</v>
      </c>
      <c r="X68">
        <v>2.1217E-2</v>
      </c>
      <c r="Y68">
        <v>71.67</v>
      </c>
      <c r="Z68" t="s">
        <v>137</v>
      </c>
      <c r="AA68">
        <v>27.7</v>
      </c>
      <c r="AB68">
        <v>0.96</v>
      </c>
      <c r="AC68">
        <v>0.03</v>
      </c>
      <c r="AD68">
        <v>0.04</v>
      </c>
      <c r="AE68">
        <v>0.63</v>
      </c>
    </row>
    <row r="69" spans="1:31" x14ac:dyDescent="0.3">
      <c r="A69" t="s">
        <v>73</v>
      </c>
      <c r="B69">
        <v>3</v>
      </c>
      <c r="C69">
        <v>3</v>
      </c>
      <c r="D69">
        <v>3</v>
      </c>
      <c r="E69">
        <v>2</v>
      </c>
      <c r="F69">
        <v>0.9</v>
      </c>
      <c r="G69">
        <v>0.9</v>
      </c>
      <c r="H69">
        <v>5.0000000000000001E-3</v>
      </c>
      <c r="I69">
        <v>120</v>
      </c>
      <c r="J69">
        <v>100</v>
      </c>
      <c r="K69">
        <v>1.4803120000000001</v>
      </c>
      <c r="L69">
        <v>1.4305239999999999</v>
      </c>
      <c r="M69">
        <v>72.3</v>
      </c>
      <c r="N69">
        <v>50</v>
      </c>
      <c r="O69">
        <v>50</v>
      </c>
      <c r="P69">
        <v>4.6150000000000002E-3</v>
      </c>
      <c r="Q69">
        <v>1.09124</v>
      </c>
      <c r="R69">
        <v>1.095855</v>
      </c>
      <c r="S69" t="s">
        <v>137</v>
      </c>
      <c r="T69">
        <v>0.37812200000000001</v>
      </c>
      <c r="U69">
        <v>1.5039E-2</v>
      </c>
      <c r="V69">
        <v>9.6199999999999996E-4</v>
      </c>
      <c r="W69">
        <v>5.5699999999999999E-4</v>
      </c>
      <c r="X69">
        <v>6.3359999999999996E-3</v>
      </c>
      <c r="Y69">
        <v>74.03</v>
      </c>
      <c r="Z69" t="s">
        <v>137</v>
      </c>
      <c r="AA69">
        <v>25.54</v>
      </c>
      <c r="AB69">
        <v>1.02</v>
      </c>
      <c r="AC69">
        <v>7.0000000000000007E-2</v>
      </c>
      <c r="AD69">
        <v>0.04</v>
      </c>
      <c r="AE69">
        <v>0.43</v>
      </c>
    </row>
    <row r="70" spans="1:31" x14ac:dyDescent="0.3">
      <c r="A70" t="s">
        <v>74</v>
      </c>
      <c r="B70">
        <v>3</v>
      </c>
      <c r="C70">
        <v>3</v>
      </c>
      <c r="D70">
        <v>3</v>
      </c>
      <c r="E70">
        <v>2</v>
      </c>
      <c r="F70">
        <v>0.9</v>
      </c>
      <c r="G70">
        <v>0.9</v>
      </c>
      <c r="H70">
        <v>5.0000000000000001E-3</v>
      </c>
      <c r="I70">
        <v>120</v>
      </c>
      <c r="J70">
        <v>100</v>
      </c>
      <c r="K70">
        <v>7.4273709999999999</v>
      </c>
      <c r="L70">
        <v>10.106866999999999</v>
      </c>
      <c r="M70">
        <v>344.76</v>
      </c>
      <c r="N70">
        <v>98</v>
      </c>
      <c r="O70">
        <v>2</v>
      </c>
      <c r="P70">
        <v>4.5999999999999999E-3</v>
      </c>
      <c r="Q70">
        <v>4.3887039999999997</v>
      </c>
      <c r="R70">
        <v>4.3933030000000004</v>
      </c>
      <c r="S70" t="s">
        <v>137</v>
      </c>
      <c r="T70">
        <v>2.9737300000000002</v>
      </c>
      <c r="U70">
        <v>7.4179999999999996E-2</v>
      </c>
      <c r="V70">
        <v>1.0809999999999999E-3</v>
      </c>
      <c r="W70">
        <v>2.826E-3</v>
      </c>
      <c r="X70">
        <v>6.0338000000000003E-2</v>
      </c>
      <c r="Y70">
        <v>59.15</v>
      </c>
      <c r="Z70" t="s">
        <v>137</v>
      </c>
      <c r="AA70">
        <v>40.04</v>
      </c>
      <c r="AB70">
        <v>1</v>
      </c>
      <c r="AC70">
        <v>0.01</v>
      </c>
      <c r="AD70">
        <v>0.04</v>
      </c>
      <c r="AE70">
        <v>0.81</v>
      </c>
    </row>
    <row r="71" spans="1:31" x14ac:dyDescent="0.3">
      <c r="A71" t="s">
        <v>75</v>
      </c>
      <c r="B71">
        <v>3</v>
      </c>
      <c r="C71">
        <v>3</v>
      </c>
      <c r="D71">
        <v>3</v>
      </c>
      <c r="E71">
        <v>2</v>
      </c>
      <c r="F71">
        <v>0.9</v>
      </c>
      <c r="G71">
        <v>0.9</v>
      </c>
      <c r="H71">
        <v>5.0000000000000001E-3</v>
      </c>
      <c r="I71">
        <v>120</v>
      </c>
      <c r="J71">
        <v>97</v>
      </c>
      <c r="K71">
        <v>9.1415150000000001</v>
      </c>
      <c r="L71">
        <v>9.5056539999999998</v>
      </c>
      <c r="M71">
        <v>429.52</v>
      </c>
      <c r="N71">
        <v>93</v>
      </c>
      <c r="O71">
        <v>4</v>
      </c>
      <c r="P71">
        <v>4.5519999999999996E-3</v>
      </c>
      <c r="Q71">
        <v>5.1983949999999997</v>
      </c>
      <c r="R71">
        <v>5.2029480000000001</v>
      </c>
      <c r="S71" t="s">
        <v>137</v>
      </c>
      <c r="T71">
        <v>3.830927</v>
      </c>
      <c r="U71">
        <v>9.2333999999999999E-2</v>
      </c>
      <c r="V71">
        <v>1.1100000000000001E-3</v>
      </c>
      <c r="W71">
        <v>3.3089999999999999E-3</v>
      </c>
      <c r="X71">
        <v>0.107641</v>
      </c>
      <c r="Y71">
        <v>56.92</v>
      </c>
      <c r="Z71" t="s">
        <v>137</v>
      </c>
      <c r="AA71">
        <v>41.91</v>
      </c>
      <c r="AB71">
        <v>1.01</v>
      </c>
      <c r="AC71">
        <v>0.01</v>
      </c>
      <c r="AD71">
        <v>0.04</v>
      </c>
      <c r="AE71">
        <v>1.18</v>
      </c>
    </row>
    <row r="72" spans="1:31" x14ac:dyDescent="0.3">
      <c r="A72" t="s">
        <v>76</v>
      </c>
      <c r="B72">
        <v>3</v>
      </c>
      <c r="C72">
        <v>3</v>
      </c>
      <c r="D72">
        <v>3</v>
      </c>
      <c r="E72">
        <v>2</v>
      </c>
      <c r="F72">
        <v>0.9</v>
      </c>
      <c r="G72">
        <v>0.9</v>
      </c>
      <c r="H72">
        <v>5.0000000000000001E-3</v>
      </c>
      <c r="I72">
        <v>120</v>
      </c>
      <c r="J72">
        <v>100</v>
      </c>
      <c r="K72">
        <v>1.730888</v>
      </c>
      <c r="L72">
        <v>1.150414</v>
      </c>
      <c r="M72">
        <v>77.209999999999994</v>
      </c>
      <c r="N72">
        <v>68</v>
      </c>
      <c r="O72">
        <v>32</v>
      </c>
      <c r="P72">
        <v>4.5690000000000001E-3</v>
      </c>
      <c r="Q72">
        <v>1.307609</v>
      </c>
      <c r="R72">
        <v>1.3121780000000001</v>
      </c>
      <c r="S72" t="s">
        <v>137</v>
      </c>
      <c r="T72">
        <v>0.410883</v>
      </c>
      <c r="U72">
        <v>1.6071999999999999E-2</v>
      </c>
      <c r="V72">
        <v>1.0219999999999999E-3</v>
      </c>
      <c r="W72">
        <v>6.4199999999999999E-4</v>
      </c>
      <c r="X72">
        <v>7.8259999999999996E-3</v>
      </c>
      <c r="Y72">
        <v>75.81</v>
      </c>
      <c r="Z72" t="s">
        <v>137</v>
      </c>
      <c r="AA72">
        <v>23.74</v>
      </c>
      <c r="AB72">
        <v>0.93</v>
      </c>
      <c r="AC72">
        <v>0.06</v>
      </c>
      <c r="AD72">
        <v>0.04</v>
      </c>
      <c r="AE72">
        <v>0.45</v>
      </c>
    </row>
    <row r="73" spans="1:31" x14ac:dyDescent="0.3">
      <c r="A73" t="s">
        <v>77</v>
      </c>
      <c r="B73">
        <v>3</v>
      </c>
      <c r="C73">
        <v>3</v>
      </c>
      <c r="D73">
        <v>3</v>
      </c>
      <c r="E73">
        <v>2</v>
      </c>
      <c r="F73">
        <v>0.9</v>
      </c>
      <c r="G73">
        <v>0.9</v>
      </c>
      <c r="H73">
        <v>5.0000000000000001E-3</v>
      </c>
      <c r="I73">
        <v>120</v>
      </c>
      <c r="J73">
        <v>69</v>
      </c>
      <c r="K73">
        <v>37.944225000000003</v>
      </c>
      <c r="L73">
        <v>35.951247000000002</v>
      </c>
      <c r="M73">
        <v>1834.9</v>
      </c>
      <c r="N73">
        <v>69</v>
      </c>
      <c r="O73">
        <v>0</v>
      </c>
      <c r="P73">
        <v>5.0499999999999998E-3</v>
      </c>
      <c r="Q73">
        <v>10.838539000000001</v>
      </c>
      <c r="R73">
        <v>10.843589</v>
      </c>
      <c r="S73" t="s">
        <v>137</v>
      </c>
      <c r="T73">
        <v>26.470946999999999</v>
      </c>
      <c r="U73">
        <v>0.402221</v>
      </c>
      <c r="V73">
        <v>1.3309999999999999E-3</v>
      </c>
      <c r="W73">
        <v>1.3539000000000001E-2</v>
      </c>
      <c r="X73">
        <v>0.62968900000000005</v>
      </c>
      <c r="Y73">
        <v>28.58</v>
      </c>
      <c r="Z73" t="s">
        <v>137</v>
      </c>
      <c r="AA73">
        <v>69.760000000000005</v>
      </c>
      <c r="AB73">
        <v>1.06</v>
      </c>
      <c r="AC73">
        <v>0</v>
      </c>
      <c r="AD73">
        <v>0.04</v>
      </c>
      <c r="AE73">
        <v>1.66</v>
      </c>
    </row>
    <row r="74" spans="1:31" x14ac:dyDescent="0.3">
      <c r="A74" t="s">
        <v>78</v>
      </c>
      <c r="B74">
        <v>3</v>
      </c>
      <c r="C74">
        <v>3</v>
      </c>
      <c r="D74">
        <v>3</v>
      </c>
      <c r="E74">
        <v>2</v>
      </c>
      <c r="F74">
        <v>0.9</v>
      </c>
      <c r="G74">
        <v>0.9</v>
      </c>
      <c r="H74">
        <v>5.0000000000000001E-3</v>
      </c>
      <c r="I74">
        <v>120</v>
      </c>
      <c r="J74">
        <v>100</v>
      </c>
      <c r="K74">
        <v>2.206629</v>
      </c>
      <c r="L74">
        <v>1.433843</v>
      </c>
      <c r="M74">
        <v>108.15</v>
      </c>
      <c r="N74">
        <v>79</v>
      </c>
      <c r="O74">
        <v>21</v>
      </c>
      <c r="P74">
        <v>4.5180000000000003E-3</v>
      </c>
      <c r="Q74">
        <v>1.6440109999999999</v>
      </c>
      <c r="R74">
        <v>1.6485289999999999</v>
      </c>
      <c r="S74" t="s">
        <v>137</v>
      </c>
      <c r="T74">
        <v>0.54800700000000002</v>
      </c>
      <c r="U74">
        <v>2.2068000000000001E-2</v>
      </c>
      <c r="V74">
        <v>9.2400000000000002E-4</v>
      </c>
      <c r="W74">
        <v>8.43E-4</v>
      </c>
      <c r="X74">
        <v>1.0094000000000001E-2</v>
      </c>
      <c r="Y74">
        <v>74.709999999999994</v>
      </c>
      <c r="Z74" t="s">
        <v>137</v>
      </c>
      <c r="AA74">
        <v>24.83</v>
      </c>
      <c r="AB74">
        <v>1</v>
      </c>
      <c r="AC74">
        <v>0.04</v>
      </c>
      <c r="AD74">
        <v>0.04</v>
      </c>
      <c r="AE74">
        <v>0.46</v>
      </c>
    </row>
    <row r="75" spans="1:31" x14ac:dyDescent="0.3">
      <c r="A75" t="s">
        <v>79</v>
      </c>
      <c r="B75">
        <v>3</v>
      </c>
      <c r="C75">
        <v>3</v>
      </c>
      <c r="D75">
        <v>3</v>
      </c>
      <c r="E75">
        <v>2</v>
      </c>
      <c r="F75">
        <v>0.9</v>
      </c>
      <c r="G75">
        <v>0.9</v>
      </c>
      <c r="H75">
        <v>5.0000000000000001E-3</v>
      </c>
      <c r="I75">
        <v>120</v>
      </c>
      <c r="J75">
        <v>100</v>
      </c>
      <c r="K75">
        <v>0.31454199999999999</v>
      </c>
      <c r="L75">
        <v>0.73816099999999996</v>
      </c>
      <c r="M75">
        <v>22.7</v>
      </c>
      <c r="N75">
        <v>2</v>
      </c>
      <c r="O75">
        <v>98</v>
      </c>
      <c r="P75">
        <v>4.9449999999999997E-3</v>
      </c>
      <c r="Q75">
        <v>0.21471299999999999</v>
      </c>
      <c r="R75">
        <v>0.21965899999999999</v>
      </c>
      <c r="S75" t="s">
        <v>137</v>
      </c>
      <c r="T75">
        <v>9.4473000000000001E-2</v>
      </c>
      <c r="U75">
        <v>4.1479999999999998E-3</v>
      </c>
      <c r="V75">
        <v>9.8999999999999999E-4</v>
      </c>
      <c r="W75">
        <v>1.2400000000000001E-4</v>
      </c>
      <c r="X75">
        <v>4.0999999999999999E-4</v>
      </c>
      <c r="Y75">
        <v>69.83</v>
      </c>
      <c r="Z75" t="s">
        <v>137</v>
      </c>
      <c r="AA75">
        <v>30.04</v>
      </c>
      <c r="AB75">
        <v>1.32</v>
      </c>
      <c r="AC75">
        <v>0.31</v>
      </c>
      <c r="AD75">
        <v>0.04</v>
      </c>
      <c r="AE75">
        <v>0.13</v>
      </c>
    </row>
    <row r="76" spans="1:31" x14ac:dyDescent="0.3">
      <c r="A76" t="s">
        <v>80</v>
      </c>
      <c r="B76">
        <v>3</v>
      </c>
      <c r="C76">
        <v>3</v>
      </c>
      <c r="D76">
        <v>3</v>
      </c>
      <c r="E76">
        <v>2</v>
      </c>
      <c r="F76">
        <v>0.9</v>
      </c>
      <c r="G76">
        <v>0.9</v>
      </c>
      <c r="H76">
        <v>5.0000000000000001E-3</v>
      </c>
      <c r="I76">
        <v>120</v>
      </c>
      <c r="J76">
        <v>100</v>
      </c>
      <c r="K76">
        <v>0.116212</v>
      </c>
      <c r="L76">
        <v>8.8330000000000006E-2</v>
      </c>
      <c r="M76">
        <v>9.34</v>
      </c>
      <c r="N76">
        <v>1</v>
      </c>
      <c r="O76">
        <v>99</v>
      </c>
      <c r="P76">
        <v>5.3420000000000004E-3</v>
      </c>
      <c r="Q76">
        <v>7.3829000000000006E-2</v>
      </c>
      <c r="R76">
        <v>7.9171000000000005E-2</v>
      </c>
      <c r="S76" t="s">
        <v>137</v>
      </c>
      <c r="T76">
        <v>3.6755999999999997E-2</v>
      </c>
      <c r="U76">
        <v>1.5499999999999999E-3</v>
      </c>
      <c r="V76">
        <v>6.6200000000000005E-4</v>
      </c>
      <c r="W76">
        <v>5.1E-5</v>
      </c>
      <c r="X76">
        <v>2.8499999999999999E-4</v>
      </c>
      <c r="Y76">
        <v>68.13</v>
      </c>
      <c r="Z76" t="s">
        <v>137</v>
      </c>
      <c r="AA76">
        <v>31.63</v>
      </c>
      <c r="AB76">
        <v>1.33</v>
      </c>
      <c r="AC76">
        <v>0.56999999999999995</v>
      </c>
      <c r="AD76">
        <v>0.04</v>
      </c>
      <c r="AE76">
        <v>0.25</v>
      </c>
    </row>
    <row r="77" spans="1:31" x14ac:dyDescent="0.3">
      <c r="A77" t="s">
        <v>81</v>
      </c>
      <c r="B77">
        <v>3</v>
      </c>
      <c r="C77">
        <v>3</v>
      </c>
      <c r="D77">
        <v>3</v>
      </c>
      <c r="E77">
        <v>2</v>
      </c>
      <c r="F77">
        <v>0.9</v>
      </c>
      <c r="G77">
        <v>0.9</v>
      </c>
      <c r="H77">
        <v>5.0000000000000001E-3</v>
      </c>
      <c r="I77">
        <v>120</v>
      </c>
      <c r="J77">
        <v>100</v>
      </c>
      <c r="K77">
        <v>0.27485500000000002</v>
      </c>
      <c r="L77">
        <v>0.27766999999999997</v>
      </c>
      <c r="M77">
        <v>23.92</v>
      </c>
      <c r="N77">
        <v>12</v>
      </c>
      <c r="O77">
        <v>88</v>
      </c>
      <c r="P77">
        <v>5.3610000000000003E-3</v>
      </c>
      <c r="Q77">
        <v>0.18965099999999999</v>
      </c>
      <c r="R77">
        <v>0.19501199999999999</v>
      </c>
      <c r="S77" t="s">
        <v>137</v>
      </c>
      <c r="T77">
        <v>7.8813999999999995E-2</v>
      </c>
      <c r="U77">
        <v>4.633E-3</v>
      </c>
      <c r="V77">
        <v>6.8900000000000005E-4</v>
      </c>
      <c r="W77">
        <v>1.3999999999999999E-4</v>
      </c>
      <c r="X77">
        <v>1.029E-3</v>
      </c>
      <c r="Y77">
        <v>70.95</v>
      </c>
      <c r="Z77" t="s">
        <v>137</v>
      </c>
      <c r="AA77">
        <v>28.67</v>
      </c>
      <c r="AB77">
        <v>1.69</v>
      </c>
      <c r="AC77">
        <v>0.25</v>
      </c>
      <c r="AD77">
        <v>0.05</v>
      </c>
      <c r="AE77">
        <v>0.37</v>
      </c>
    </row>
    <row r="78" spans="1:31" x14ac:dyDescent="0.3">
      <c r="A78" t="s">
        <v>82</v>
      </c>
      <c r="B78">
        <v>3</v>
      </c>
      <c r="C78">
        <v>3</v>
      </c>
      <c r="D78">
        <v>3</v>
      </c>
      <c r="E78">
        <v>2</v>
      </c>
      <c r="F78">
        <v>0.9</v>
      </c>
      <c r="G78">
        <v>0.9</v>
      </c>
      <c r="H78">
        <v>5.0000000000000001E-3</v>
      </c>
      <c r="I78">
        <v>120</v>
      </c>
      <c r="J78">
        <v>100</v>
      </c>
      <c r="K78">
        <v>0.17082700000000001</v>
      </c>
      <c r="L78">
        <v>8.0699999999999994E-2</v>
      </c>
      <c r="M78">
        <v>12.21</v>
      </c>
      <c r="N78">
        <v>0</v>
      </c>
      <c r="O78">
        <v>100</v>
      </c>
      <c r="P78">
        <v>5.0210000000000003E-3</v>
      </c>
      <c r="Q78">
        <v>0.114552</v>
      </c>
      <c r="R78">
        <v>0.119573</v>
      </c>
      <c r="S78" t="s">
        <v>137</v>
      </c>
      <c r="T78">
        <v>5.1254000000000001E-2</v>
      </c>
      <c r="U78">
        <v>2.0219999999999999E-3</v>
      </c>
      <c r="V78">
        <v>8.6700000000000004E-4</v>
      </c>
      <c r="W78">
        <v>6.4999999999999994E-5</v>
      </c>
      <c r="X78">
        <v>0</v>
      </c>
      <c r="Y78">
        <v>70</v>
      </c>
      <c r="Z78" t="s">
        <v>137</v>
      </c>
      <c r="AA78">
        <v>30</v>
      </c>
      <c r="AB78">
        <v>1.18</v>
      </c>
      <c r="AC78">
        <v>0.51</v>
      </c>
      <c r="AD78">
        <v>0.04</v>
      </c>
      <c r="AE78">
        <v>0</v>
      </c>
    </row>
    <row r="79" spans="1:31" x14ac:dyDescent="0.3">
      <c r="A79" t="s">
        <v>83</v>
      </c>
      <c r="B79">
        <v>3</v>
      </c>
      <c r="C79">
        <v>3</v>
      </c>
      <c r="D79">
        <v>3</v>
      </c>
      <c r="E79">
        <v>2</v>
      </c>
      <c r="F79">
        <v>0.9</v>
      </c>
      <c r="G79">
        <v>0.9</v>
      </c>
      <c r="H79">
        <v>5.0000000000000001E-3</v>
      </c>
      <c r="I79">
        <v>120</v>
      </c>
      <c r="J79">
        <v>100</v>
      </c>
      <c r="K79">
        <v>0.47887800000000003</v>
      </c>
      <c r="L79">
        <v>0.54291299999999998</v>
      </c>
      <c r="M79">
        <v>38.200000000000003</v>
      </c>
      <c r="N79">
        <v>21</v>
      </c>
      <c r="O79">
        <v>79</v>
      </c>
      <c r="P79">
        <v>5.3359999999999996E-3</v>
      </c>
      <c r="Q79">
        <v>0.34142099999999997</v>
      </c>
      <c r="R79">
        <v>0.34675699999999998</v>
      </c>
      <c r="S79" t="s">
        <v>137</v>
      </c>
      <c r="T79">
        <v>0.129519</v>
      </c>
      <c r="U79">
        <v>7.5339999999999999E-3</v>
      </c>
      <c r="V79">
        <v>8.4400000000000002E-4</v>
      </c>
      <c r="W79">
        <v>2.31E-4</v>
      </c>
      <c r="X79">
        <v>2.6020000000000001E-3</v>
      </c>
      <c r="Y79">
        <v>72.41</v>
      </c>
      <c r="Z79" t="s">
        <v>137</v>
      </c>
      <c r="AA79">
        <v>27.05</v>
      </c>
      <c r="AB79">
        <v>1.57</v>
      </c>
      <c r="AC79">
        <v>0.18</v>
      </c>
      <c r="AD79">
        <v>0.05</v>
      </c>
      <c r="AE79">
        <v>0.54</v>
      </c>
    </row>
    <row r="80" spans="1:31" x14ac:dyDescent="0.3">
      <c r="A80" t="s">
        <v>84</v>
      </c>
      <c r="B80">
        <v>3</v>
      </c>
      <c r="C80">
        <v>3</v>
      </c>
      <c r="D80">
        <v>3</v>
      </c>
      <c r="E80">
        <v>2</v>
      </c>
      <c r="F80">
        <v>0.9</v>
      </c>
      <c r="G80">
        <v>0.9</v>
      </c>
      <c r="H80">
        <v>5.0000000000000001E-3</v>
      </c>
      <c r="I80">
        <v>120</v>
      </c>
      <c r="J80">
        <v>100</v>
      </c>
      <c r="K80">
        <v>4.7579630000000002</v>
      </c>
      <c r="L80">
        <v>9.8781920000000003</v>
      </c>
      <c r="M80">
        <v>381.4</v>
      </c>
      <c r="N80">
        <v>58</v>
      </c>
      <c r="O80">
        <v>42</v>
      </c>
      <c r="P80">
        <v>5.2979999999999998E-3</v>
      </c>
      <c r="Q80">
        <v>2.3119160000000001</v>
      </c>
      <c r="R80">
        <v>2.3172139999999999</v>
      </c>
      <c r="S80" t="s">
        <v>137</v>
      </c>
      <c r="T80">
        <v>2.3197380000000001</v>
      </c>
      <c r="U80">
        <v>8.0088999999999994E-2</v>
      </c>
      <c r="V80">
        <v>8.0699999999999999E-4</v>
      </c>
      <c r="W80">
        <v>2.9160000000000002E-3</v>
      </c>
      <c r="X80">
        <v>0.12101000000000001</v>
      </c>
      <c r="Y80">
        <v>48.7</v>
      </c>
      <c r="Z80" t="s">
        <v>137</v>
      </c>
      <c r="AA80">
        <v>48.75</v>
      </c>
      <c r="AB80">
        <v>1.68</v>
      </c>
      <c r="AC80">
        <v>0.02</v>
      </c>
      <c r="AD80">
        <v>0.06</v>
      </c>
      <c r="AE80">
        <v>2.54</v>
      </c>
    </row>
    <row r="81" spans="1:31" x14ac:dyDescent="0.3">
      <c r="A81" t="s">
        <v>85</v>
      </c>
      <c r="B81">
        <v>3</v>
      </c>
      <c r="C81">
        <v>3</v>
      </c>
      <c r="D81">
        <v>3</v>
      </c>
      <c r="E81">
        <v>2</v>
      </c>
      <c r="F81">
        <v>0.9</v>
      </c>
      <c r="G81">
        <v>0.9</v>
      </c>
      <c r="H81">
        <v>5.0000000000000001E-3</v>
      </c>
      <c r="I81">
        <v>120</v>
      </c>
      <c r="J81">
        <v>100</v>
      </c>
      <c r="K81">
        <v>0.120104</v>
      </c>
      <c r="L81">
        <v>7.0986999999999995E-2</v>
      </c>
      <c r="M81">
        <v>10.1</v>
      </c>
      <c r="N81">
        <v>0</v>
      </c>
      <c r="O81">
        <v>100</v>
      </c>
      <c r="P81">
        <v>5.3E-3</v>
      </c>
      <c r="Q81">
        <v>7.6715000000000005E-2</v>
      </c>
      <c r="R81">
        <v>8.2016000000000006E-2</v>
      </c>
      <c r="S81" t="s">
        <v>137</v>
      </c>
      <c r="T81">
        <v>3.8087000000000003E-2</v>
      </c>
      <c r="U81">
        <v>1.7539999999999999E-3</v>
      </c>
      <c r="V81">
        <v>6.1899999999999998E-4</v>
      </c>
      <c r="W81">
        <v>5.5999999999999999E-5</v>
      </c>
      <c r="X81">
        <v>0</v>
      </c>
      <c r="Y81">
        <v>68.290000000000006</v>
      </c>
      <c r="Z81" t="s">
        <v>137</v>
      </c>
      <c r="AA81">
        <v>31.71</v>
      </c>
      <c r="AB81">
        <v>1.46</v>
      </c>
      <c r="AC81">
        <v>0.52</v>
      </c>
      <c r="AD81">
        <v>0.05</v>
      </c>
      <c r="AE81">
        <v>0</v>
      </c>
    </row>
    <row r="82" spans="1:31" x14ac:dyDescent="0.3">
      <c r="A82" t="s">
        <v>86</v>
      </c>
      <c r="B82">
        <v>3</v>
      </c>
      <c r="C82">
        <v>3</v>
      </c>
      <c r="D82">
        <v>3</v>
      </c>
      <c r="E82">
        <v>2</v>
      </c>
      <c r="F82">
        <v>0.9</v>
      </c>
      <c r="G82">
        <v>0.9</v>
      </c>
      <c r="H82">
        <v>5.0000000000000001E-3</v>
      </c>
      <c r="I82">
        <v>120</v>
      </c>
      <c r="J82">
        <v>100</v>
      </c>
      <c r="K82">
        <v>1.57769</v>
      </c>
      <c r="L82">
        <v>9.7321380000000008</v>
      </c>
      <c r="M82">
        <v>135.86000000000001</v>
      </c>
      <c r="N82">
        <v>30</v>
      </c>
      <c r="O82">
        <v>70</v>
      </c>
      <c r="P82">
        <v>5.3470000000000002E-3</v>
      </c>
      <c r="Q82">
        <v>0.58900200000000003</v>
      </c>
      <c r="R82">
        <v>0.59434900000000002</v>
      </c>
      <c r="S82" t="s">
        <v>137</v>
      </c>
      <c r="T82">
        <v>0.97531000000000001</v>
      </c>
      <c r="U82">
        <v>2.8399000000000001E-2</v>
      </c>
      <c r="V82">
        <v>8.2399999999999997E-4</v>
      </c>
      <c r="W82">
        <v>1.3669999999999999E-3</v>
      </c>
      <c r="X82">
        <v>8.0309999999999999E-3</v>
      </c>
      <c r="Y82">
        <v>37.67</v>
      </c>
      <c r="Z82" t="s">
        <v>137</v>
      </c>
      <c r="AA82">
        <v>61.82</v>
      </c>
      <c r="AB82">
        <v>1.8</v>
      </c>
      <c r="AC82">
        <v>0.05</v>
      </c>
      <c r="AD82">
        <v>0.09</v>
      </c>
      <c r="AE82">
        <v>0.51</v>
      </c>
    </row>
    <row r="83" spans="1:31" x14ac:dyDescent="0.3">
      <c r="A83" t="s">
        <v>87</v>
      </c>
      <c r="B83">
        <v>3</v>
      </c>
      <c r="C83">
        <v>3</v>
      </c>
      <c r="D83">
        <v>3</v>
      </c>
      <c r="E83">
        <v>2</v>
      </c>
      <c r="F83">
        <v>0.9</v>
      </c>
      <c r="G83">
        <v>0.9</v>
      </c>
      <c r="H83">
        <v>5.0000000000000001E-3</v>
      </c>
      <c r="I83">
        <v>120</v>
      </c>
      <c r="J83">
        <v>100</v>
      </c>
      <c r="K83">
        <v>0.61965899999999996</v>
      </c>
      <c r="L83">
        <v>0.53968700000000003</v>
      </c>
      <c r="M83">
        <v>39.42</v>
      </c>
      <c r="N83">
        <v>22</v>
      </c>
      <c r="O83">
        <v>78</v>
      </c>
      <c r="P83">
        <v>4.8669999999999998E-3</v>
      </c>
      <c r="Q83">
        <v>0.451351</v>
      </c>
      <c r="R83">
        <v>0.45621800000000001</v>
      </c>
      <c r="S83" t="s">
        <v>137</v>
      </c>
      <c r="T83">
        <v>0.16209399999999999</v>
      </c>
      <c r="U83">
        <v>7.7289999999999998E-3</v>
      </c>
      <c r="V83">
        <v>9.8900000000000008E-4</v>
      </c>
      <c r="W83">
        <v>2.4699999999999999E-4</v>
      </c>
      <c r="X83">
        <v>1.346E-3</v>
      </c>
      <c r="Y83">
        <v>73.62</v>
      </c>
      <c r="Z83" t="s">
        <v>137</v>
      </c>
      <c r="AA83">
        <v>26.16</v>
      </c>
      <c r="AB83">
        <v>1.25</v>
      </c>
      <c r="AC83">
        <v>0.16</v>
      </c>
      <c r="AD83">
        <v>0.04</v>
      </c>
      <c r="AE83">
        <v>0.22</v>
      </c>
    </row>
    <row r="84" spans="1:31" x14ac:dyDescent="0.3">
      <c r="A84" t="s">
        <v>88</v>
      </c>
      <c r="B84">
        <v>3</v>
      </c>
      <c r="C84">
        <v>3</v>
      </c>
      <c r="D84">
        <v>3</v>
      </c>
      <c r="E84">
        <v>2</v>
      </c>
      <c r="F84">
        <v>0.9</v>
      </c>
      <c r="G84">
        <v>0.9</v>
      </c>
      <c r="H84">
        <v>5.0000000000000001E-3</v>
      </c>
      <c r="I84">
        <v>120</v>
      </c>
      <c r="J84">
        <v>100</v>
      </c>
      <c r="K84">
        <v>2.3424770000000001</v>
      </c>
      <c r="L84">
        <v>4.9207289999999997</v>
      </c>
      <c r="M84">
        <v>141.54</v>
      </c>
      <c r="N84">
        <v>62</v>
      </c>
      <c r="O84">
        <v>38</v>
      </c>
      <c r="P84">
        <v>5.2690000000000002E-3</v>
      </c>
      <c r="Q84">
        <v>1.486869</v>
      </c>
      <c r="R84">
        <v>1.492137</v>
      </c>
      <c r="S84" t="s">
        <v>137</v>
      </c>
      <c r="T84">
        <v>0.81867299999999998</v>
      </c>
      <c r="U84">
        <v>3.022E-2</v>
      </c>
      <c r="V84">
        <v>1.0740000000000001E-3</v>
      </c>
      <c r="W84">
        <v>9.4399999999999996E-4</v>
      </c>
      <c r="X84">
        <v>3.1667000000000001E-2</v>
      </c>
      <c r="Y84">
        <v>63.7</v>
      </c>
      <c r="Z84" t="s">
        <v>137</v>
      </c>
      <c r="AA84">
        <v>34.950000000000003</v>
      </c>
      <c r="AB84">
        <v>1.29</v>
      </c>
      <c r="AC84">
        <v>0.05</v>
      </c>
      <c r="AD84">
        <v>0.04</v>
      </c>
      <c r="AE84">
        <v>1.35</v>
      </c>
    </row>
    <row r="85" spans="1:31" x14ac:dyDescent="0.3">
      <c r="A85" t="s">
        <v>89</v>
      </c>
      <c r="B85">
        <v>3</v>
      </c>
      <c r="C85">
        <v>3</v>
      </c>
      <c r="D85">
        <v>3</v>
      </c>
      <c r="E85">
        <v>2</v>
      </c>
      <c r="F85">
        <v>0.9</v>
      </c>
      <c r="G85">
        <v>0.9</v>
      </c>
      <c r="H85">
        <v>5.0000000000000001E-3</v>
      </c>
      <c r="I85">
        <v>120</v>
      </c>
      <c r="J85">
        <v>100</v>
      </c>
      <c r="K85">
        <v>0.18704299999999999</v>
      </c>
      <c r="L85">
        <v>0.166767</v>
      </c>
      <c r="M85">
        <v>13.94</v>
      </c>
      <c r="N85">
        <v>3</v>
      </c>
      <c r="O85">
        <v>97</v>
      </c>
      <c r="P85">
        <v>5.1619999999999999E-3</v>
      </c>
      <c r="Q85">
        <v>0.126137</v>
      </c>
      <c r="R85">
        <v>0.131298</v>
      </c>
      <c r="S85" t="s">
        <v>137</v>
      </c>
      <c r="T85">
        <v>5.5473000000000001E-2</v>
      </c>
      <c r="U85">
        <v>2.4369999999999999E-3</v>
      </c>
      <c r="V85">
        <v>7.8299999999999995E-4</v>
      </c>
      <c r="W85">
        <v>8.0000000000000007E-5</v>
      </c>
      <c r="X85">
        <v>2.7E-4</v>
      </c>
      <c r="Y85">
        <v>70.2</v>
      </c>
      <c r="Z85" t="s">
        <v>137</v>
      </c>
      <c r="AA85">
        <v>29.66</v>
      </c>
      <c r="AB85">
        <v>1.3</v>
      </c>
      <c r="AC85">
        <v>0.42</v>
      </c>
      <c r="AD85">
        <v>0.04</v>
      </c>
      <c r="AE85">
        <v>0.14000000000000001</v>
      </c>
    </row>
    <row r="86" spans="1:31" x14ac:dyDescent="0.3">
      <c r="A86" t="s">
        <v>90</v>
      </c>
      <c r="B86">
        <v>3</v>
      </c>
      <c r="C86">
        <v>3</v>
      </c>
      <c r="D86">
        <v>3</v>
      </c>
      <c r="E86">
        <v>2</v>
      </c>
      <c r="F86">
        <v>0.9</v>
      </c>
      <c r="G86">
        <v>0.9</v>
      </c>
      <c r="H86">
        <v>5.0000000000000001E-3</v>
      </c>
      <c r="I86">
        <v>120</v>
      </c>
      <c r="J86">
        <v>100</v>
      </c>
      <c r="K86">
        <v>1.1895039999999999</v>
      </c>
      <c r="L86">
        <v>1.4848710000000001</v>
      </c>
      <c r="M86">
        <v>74.7</v>
      </c>
      <c r="N86">
        <v>51</v>
      </c>
      <c r="O86">
        <v>49</v>
      </c>
      <c r="P86">
        <v>4.9040000000000004E-3</v>
      </c>
      <c r="Q86">
        <v>0.86031100000000005</v>
      </c>
      <c r="R86">
        <v>0.86521499999999996</v>
      </c>
      <c r="S86" t="s">
        <v>137</v>
      </c>
      <c r="T86">
        <v>0.31598799999999999</v>
      </c>
      <c r="U86">
        <v>1.5200999999999999E-2</v>
      </c>
      <c r="V86">
        <v>9.6699999999999998E-4</v>
      </c>
      <c r="W86">
        <v>5.2599999999999999E-4</v>
      </c>
      <c r="X86">
        <v>8.3009999999999994E-3</v>
      </c>
      <c r="Y86">
        <v>72.739999999999995</v>
      </c>
      <c r="Z86" t="s">
        <v>137</v>
      </c>
      <c r="AA86">
        <v>26.56</v>
      </c>
      <c r="AB86">
        <v>1.28</v>
      </c>
      <c r="AC86">
        <v>0.08</v>
      </c>
      <c r="AD86">
        <v>0.04</v>
      </c>
      <c r="AE86">
        <v>0.7</v>
      </c>
    </row>
    <row r="87" spans="1:31" x14ac:dyDescent="0.3">
      <c r="A87" t="s">
        <v>91</v>
      </c>
      <c r="B87">
        <v>3</v>
      </c>
      <c r="C87">
        <v>3</v>
      </c>
      <c r="D87">
        <v>3</v>
      </c>
      <c r="E87">
        <v>2</v>
      </c>
      <c r="F87">
        <v>0.9</v>
      </c>
      <c r="G87">
        <v>0.9</v>
      </c>
      <c r="H87">
        <v>5.0000000000000001E-3</v>
      </c>
      <c r="I87">
        <v>120</v>
      </c>
      <c r="J87">
        <v>98</v>
      </c>
      <c r="K87">
        <v>4.9296730000000002</v>
      </c>
      <c r="L87">
        <v>13.817072</v>
      </c>
      <c r="M87">
        <v>336</v>
      </c>
      <c r="N87">
        <v>75</v>
      </c>
      <c r="O87">
        <v>23</v>
      </c>
      <c r="P87">
        <v>5.0650000000000001E-3</v>
      </c>
      <c r="Q87">
        <v>2.16852</v>
      </c>
      <c r="R87">
        <v>2.1735850000000001</v>
      </c>
      <c r="S87" t="s">
        <v>137</v>
      </c>
      <c r="T87">
        <v>2.6945049999999999</v>
      </c>
      <c r="U87">
        <v>7.0373000000000005E-2</v>
      </c>
      <c r="V87">
        <v>9.4499999999999998E-4</v>
      </c>
      <c r="W87">
        <v>2.3579999999999999E-3</v>
      </c>
      <c r="X87">
        <v>6.1582999999999999E-2</v>
      </c>
      <c r="Y87">
        <v>44.09</v>
      </c>
      <c r="Z87" t="s">
        <v>137</v>
      </c>
      <c r="AA87">
        <v>54.66</v>
      </c>
      <c r="AB87">
        <v>1.43</v>
      </c>
      <c r="AC87">
        <v>0.02</v>
      </c>
      <c r="AD87">
        <v>0.05</v>
      </c>
      <c r="AE87">
        <v>1.25</v>
      </c>
    </row>
    <row r="88" spans="1:31" x14ac:dyDescent="0.3">
      <c r="A88" t="s">
        <v>92</v>
      </c>
      <c r="B88">
        <v>3</v>
      </c>
      <c r="C88">
        <v>3</v>
      </c>
      <c r="D88">
        <v>3</v>
      </c>
      <c r="E88">
        <v>2</v>
      </c>
      <c r="F88">
        <v>0.9</v>
      </c>
      <c r="G88">
        <v>0.9</v>
      </c>
      <c r="H88">
        <v>5.0000000000000001E-3</v>
      </c>
      <c r="I88">
        <v>120</v>
      </c>
      <c r="J88">
        <v>100</v>
      </c>
      <c r="K88">
        <v>2.24465</v>
      </c>
      <c r="L88">
        <v>4.2758620000000001</v>
      </c>
      <c r="M88">
        <v>149.5</v>
      </c>
      <c r="N88">
        <v>67</v>
      </c>
      <c r="O88">
        <v>33</v>
      </c>
      <c r="P88">
        <v>4.9789999999999999E-3</v>
      </c>
      <c r="Q88">
        <v>1.4133869999999999</v>
      </c>
      <c r="R88">
        <v>1.418366</v>
      </c>
      <c r="S88" t="s">
        <v>137</v>
      </c>
      <c r="T88">
        <v>0.80522300000000002</v>
      </c>
      <c r="U88">
        <v>3.0994000000000001E-2</v>
      </c>
      <c r="V88">
        <v>9.859999999999999E-4</v>
      </c>
      <c r="W88">
        <v>1.0480000000000001E-3</v>
      </c>
      <c r="X88">
        <v>2.1061E-2</v>
      </c>
      <c r="Y88">
        <v>63.19</v>
      </c>
      <c r="Z88" t="s">
        <v>137</v>
      </c>
      <c r="AA88">
        <v>35.869999999999997</v>
      </c>
      <c r="AB88">
        <v>1.38</v>
      </c>
      <c r="AC88">
        <v>0.04</v>
      </c>
      <c r="AD88">
        <v>0.05</v>
      </c>
      <c r="AE88">
        <v>0.94</v>
      </c>
    </row>
    <row r="89" spans="1:31" x14ac:dyDescent="0.3">
      <c r="A89" t="s">
        <v>93</v>
      </c>
      <c r="B89">
        <v>3</v>
      </c>
      <c r="C89">
        <v>3</v>
      </c>
      <c r="D89">
        <v>3</v>
      </c>
      <c r="E89">
        <v>2</v>
      </c>
      <c r="F89">
        <v>0.9</v>
      </c>
      <c r="G89">
        <v>0.9</v>
      </c>
      <c r="H89">
        <v>5.0000000000000001E-3</v>
      </c>
      <c r="I89">
        <v>120</v>
      </c>
      <c r="J89">
        <v>100</v>
      </c>
      <c r="K89">
        <v>0.19483600000000001</v>
      </c>
      <c r="L89">
        <v>0.29365599999999997</v>
      </c>
      <c r="M89">
        <v>17.850000000000001</v>
      </c>
      <c r="N89">
        <v>8</v>
      </c>
      <c r="O89">
        <v>92</v>
      </c>
      <c r="P89">
        <v>5.4710000000000002E-3</v>
      </c>
      <c r="Q89">
        <v>0.13070399999999999</v>
      </c>
      <c r="R89">
        <v>0.13617399999999999</v>
      </c>
      <c r="S89" t="s">
        <v>137</v>
      </c>
      <c r="T89">
        <v>5.8205E-2</v>
      </c>
      <c r="U89">
        <v>3.3990000000000001E-3</v>
      </c>
      <c r="V89">
        <v>6.0499999999999996E-4</v>
      </c>
      <c r="W89">
        <v>1.01E-4</v>
      </c>
      <c r="X89">
        <v>4.5600000000000003E-4</v>
      </c>
      <c r="Y89">
        <v>69.89</v>
      </c>
      <c r="Z89" t="s">
        <v>137</v>
      </c>
      <c r="AA89">
        <v>29.87</v>
      </c>
      <c r="AB89">
        <v>1.74</v>
      </c>
      <c r="AC89">
        <v>0.31</v>
      </c>
      <c r="AD89">
        <v>0.05</v>
      </c>
      <c r="AE89">
        <v>0.23</v>
      </c>
    </row>
    <row r="90" spans="1:31" x14ac:dyDescent="0.3">
      <c r="A90" t="s">
        <v>94</v>
      </c>
      <c r="B90">
        <v>3</v>
      </c>
      <c r="C90">
        <v>3</v>
      </c>
      <c r="D90">
        <v>3</v>
      </c>
      <c r="E90">
        <v>2</v>
      </c>
      <c r="F90">
        <v>0.9</v>
      </c>
      <c r="G90">
        <v>0.9</v>
      </c>
      <c r="H90">
        <v>5.0000000000000001E-3</v>
      </c>
      <c r="I90">
        <v>120</v>
      </c>
      <c r="J90">
        <v>100</v>
      </c>
      <c r="K90">
        <v>1.844905</v>
      </c>
      <c r="L90">
        <v>2.2774730000000001</v>
      </c>
      <c r="M90">
        <v>144.37</v>
      </c>
      <c r="N90">
        <v>59</v>
      </c>
      <c r="O90">
        <v>41</v>
      </c>
      <c r="P90">
        <v>5.2570000000000004E-3</v>
      </c>
      <c r="Q90">
        <v>1.263506</v>
      </c>
      <c r="R90">
        <v>1.2687630000000001</v>
      </c>
      <c r="S90" t="s">
        <v>137</v>
      </c>
      <c r="T90">
        <v>0.556593</v>
      </c>
      <c r="U90">
        <v>2.9901E-2</v>
      </c>
      <c r="V90">
        <v>1.1199999999999999E-3</v>
      </c>
      <c r="W90">
        <v>7.9299999999999998E-4</v>
      </c>
      <c r="X90">
        <v>1.9547999999999999E-2</v>
      </c>
      <c r="Y90">
        <v>68.77</v>
      </c>
      <c r="Z90" t="s">
        <v>137</v>
      </c>
      <c r="AA90">
        <v>30.17</v>
      </c>
      <c r="AB90">
        <v>1.62</v>
      </c>
      <c r="AC90">
        <v>0.06</v>
      </c>
      <c r="AD90">
        <v>0.04</v>
      </c>
      <c r="AE90">
        <v>1.06</v>
      </c>
    </row>
    <row r="91" spans="1:31" x14ac:dyDescent="0.3">
      <c r="A91" t="s">
        <v>95</v>
      </c>
      <c r="B91">
        <v>3</v>
      </c>
      <c r="C91">
        <v>3</v>
      </c>
      <c r="D91">
        <v>3</v>
      </c>
      <c r="E91">
        <v>2</v>
      </c>
      <c r="F91">
        <v>0.9</v>
      </c>
      <c r="G91">
        <v>0.9</v>
      </c>
      <c r="H91">
        <v>5.0000000000000001E-3</v>
      </c>
      <c r="I91">
        <v>120</v>
      </c>
      <c r="J91">
        <v>100</v>
      </c>
      <c r="K91">
        <v>0.34606999999999999</v>
      </c>
      <c r="L91">
        <v>0.39044299999999998</v>
      </c>
      <c r="M91">
        <v>26</v>
      </c>
      <c r="N91">
        <v>7</v>
      </c>
      <c r="O91">
        <v>93</v>
      </c>
      <c r="P91">
        <v>5.0530000000000002E-3</v>
      </c>
      <c r="Q91">
        <v>0.24383299999999999</v>
      </c>
      <c r="R91">
        <v>0.248885</v>
      </c>
      <c r="S91" t="s">
        <v>137</v>
      </c>
      <c r="T91">
        <v>9.5730999999999997E-2</v>
      </c>
      <c r="U91">
        <v>4.9420000000000002E-3</v>
      </c>
      <c r="V91">
        <v>8.7600000000000004E-4</v>
      </c>
      <c r="W91">
        <v>1.6699999999999999E-4</v>
      </c>
      <c r="X91">
        <v>1.454E-3</v>
      </c>
      <c r="Y91">
        <v>71.92</v>
      </c>
      <c r="Z91" t="s">
        <v>137</v>
      </c>
      <c r="AA91">
        <v>27.66</v>
      </c>
      <c r="AB91">
        <v>1.43</v>
      </c>
      <c r="AC91">
        <v>0.25</v>
      </c>
      <c r="AD91">
        <v>0.05</v>
      </c>
      <c r="AE91">
        <v>0.42</v>
      </c>
    </row>
    <row r="92" spans="1:31" x14ac:dyDescent="0.3">
      <c r="A92" t="s">
        <v>96</v>
      </c>
      <c r="B92">
        <v>3</v>
      </c>
      <c r="C92">
        <v>3</v>
      </c>
      <c r="D92">
        <v>3</v>
      </c>
      <c r="E92">
        <v>2</v>
      </c>
      <c r="F92">
        <v>0.9</v>
      </c>
      <c r="G92">
        <v>0.9</v>
      </c>
      <c r="H92">
        <v>5.0000000000000001E-3</v>
      </c>
      <c r="I92">
        <v>120</v>
      </c>
      <c r="J92">
        <v>100</v>
      </c>
      <c r="K92">
        <v>0.23097000000000001</v>
      </c>
      <c r="L92">
        <v>0.35507300000000003</v>
      </c>
      <c r="M92">
        <v>18.88</v>
      </c>
      <c r="N92">
        <v>3</v>
      </c>
      <c r="O92">
        <v>97</v>
      </c>
      <c r="P92">
        <v>5.2259999999999997E-3</v>
      </c>
      <c r="Q92">
        <v>0.15825800000000001</v>
      </c>
      <c r="R92">
        <v>0.16348399999999999</v>
      </c>
      <c r="S92" t="s">
        <v>137</v>
      </c>
      <c r="T92">
        <v>6.6612000000000005E-2</v>
      </c>
      <c r="U92">
        <v>3.5850000000000001E-3</v>
      </c>
      <c r="V92">
        <v>6.3199999999999997E-4</v>
      </c>
      <c r="W92">
        <v>1.2E-4</v>
      </c>
      <c r="X92">
        <v>8.7399999999999999E-4</v>
      </c>
      <c r="Y92">
        <v>70.78</v>
      </c>
      <c r="Z92" t="s">
        <v>137</v>
      </c>
      <c r="AA92">
        <v>28.84</v>
      </c>
      <c r="AB92">
        <v>1.55</v>
      </c>
      <c r="AC92">
        <v>0.27</v>
      </c>
      <c r="AD92">
        <v>0.05</v>
      </c>
      <c r="AE92">
        <v>0.38</v>
      </c>
    </row>
    <row r="93" spans="1:31" x14ac:dyDescent="0.3">
      <c r="A93" t="s">
        <v>97</v>
      </c>
      <c r="B93">
        <v>3</v>
      </c>
      <c r="C93">
        <v>3</v>
      </c>
      <c r="D93">
        <v>3</v>
      </c>
      <c r="E93">
        <v>2</v>
      </c>
      <c r="F93">
        <v>0.9</v>
      </c>
      <c r="G93">
        <v>0.9</v>
      </c>
      <c r="H93">
        <v>5.0000000000000001E-3</v>
      </c>
      <c r="I93">
        <v>120</v>
      </c>
      <c r="J93">
        <v>100</v>
      </c>
      <c r="K93">
        <v>0.55223299999999997</v>
      </c>
      <c r="L93">
        <v>0.73739299999999997</v>
      </c>
      <c r="M93">
        <v>43.47</v>
      </c>
      <c r="N93">
        <v>21</v>
      </c>
      <c r="O93">
        <v>79</v>
      </c>
      <c r="P93">
        <v>5.1599999999999997E-3</v>
      </c>
      <c r="Q93">
        <v>0.38680999999999999</v>
      </c>
      <c r="R93">
        <v>0.39197100000000001</v>
      </c>
      <c r="S93" t="s">
        <v>137</v>
      </c>
      <c r="T93">
        <v>0.15802099999999999</v>
      </c>
      <c r="U93">
        <v>8.5760000000000003E-3</v>
      </c>
      <c r="V93">
        <v>9.3800000000000003E-4</v>
      </c>
      <c r="W93">
        <v>2.4399999999999999E-4</v>
      </c>
      <c r="X93">
        <v>2.2409999999999999E-3</v>
      </c>
      <c r="Y93">
        <v>70.98</v>
      </c>
      <c r="Z93" t="s">
        <v>137</v>
      </c>
      <c r="AA93">
        <v>28.61</v>
      </c>
      <c r="AB93">
        <v>1.55</v>
      </c>
      <c r="AC93">
        <v>0.17</v>
      </c>
      <c r="AD93">
        <v>0.04</v>
      </c>
      <c r="AE93">
        <v>0.41</v>
      </c>
    </row>
    <row r="94" spans="1:31" x14ac:dyDescent="0.3">
      <c r="A94" t="s">
        <v>98</v>
      </c>
      <c r="B94">
        <v>3</v>
      </c>
      <c r="C94">
        <v>3</v>
      </c>
      <c r="D94">
        <v>3</v>
      </c>
      <c r="E94">
        <v>2</v>
      </c>
      <c r="F94">
        <v>0.9</v>
      </c>
      <c r="G94">
        <v>0.9</v>
      </c>
      <c r="H94">
        <v>5.0000000000000001E-3</v>
      </c>
      <c r="I94">
        <v>120</v>
      </c>
      <c r="J94">
        <v>100</v>
      </c>
      <c r="K94">
        <v>0.49583899999999997</v>
      </c>
      <c r="L94">
        <v>0.54108900000000004</v>
      </c>
      <c r="M94">
        <v>35.19</v>
      </c>
      <c r="N94">
        <v>17</v>
      </c>
      <c r="O94">
        <v>83</v>
      </c>
      <c r="P94">
        <v>4.9620000000000003E-3</v>
      </c>
      <c r="Q94">
        <v>0.35478199999999999</v>
      </c>
      <c r="R94">
        <v>0.35974400000000001</v>
      </c>
      <c r="S94" t="s">
        <v>137</v>
      </c>
      <c r="T94">
        <v>0.132129</v>
      </c>
      <c r="U94">
        <v>6.9020000000000001E-3</v>
      </c>
      <c r="V94">
        <v>8.2799999999999996E-4</v>
      </c>
      <c r="W94">
        <v>2.2000000000000001E-4</v>
      </c>
      <c r="X94">
        <v>3.9659999999999999E-3</v>
      </c>
      <c r="Y94">
        <v>72.55</v>
      </c>
      <c r="Z94" t="s">
        <v>137</v>
      </c>
      <c r="AA94">
        <v>26.65</v>
      </c>
      <c r="AB94">
        <v>1.39</v>
      </c>
      <c r="AC94">
        <v>0.17</v>
      </c>
      <c r="AD94">
        <v>0.04</v>
      </c>
      <c r="AE94">
        <v>0.8</v>
      </c>
    </row>
    <row r="95" spans="1:31" x14ac:dyDescent="0.3">
      <c r="A95" t="s">
        <v>99</v>
      </c>
      <c r="B95">
        <v>3</v>
      </c>
      <c r="C95">
        <v>3</v>
      </c>
      <c r="D95">
        <v>3</v>
      </c>
      <c r="E95">
        <v>2</v>
      </c>
      <c r="F95">
        <v>0.9</v>
      </c>
      <c r="G95">
        <v>0.9</v>
      </c>
      <c r="H95">
        <v>5.0000000000000001E-3</v>
      </c>
      <c r="I95">
        <v>120</v>
      </c>
      <c r="J95">
        <v>100</v>
      </c>
      <c r="K95">
        <v>0.38385900000000001</v>
      </c>
      <c r="L95">
        <v>0.35952400000000001</v>
      </c>
      <c r="M95">
        <v>33.57</v>
      </c>
      <c r="N95">
        <v>13</v>
      </c>
      <c r="O95">
        <v>87</v>
      </c>
      <c r="P95">
        <v>5.228E-3</v>
      </c>
      <c r="Q95">
        <v>0.26902900000000002</v>
      </c>
      <c r="R95">
        <v>0.27425699999999997</v>
      </c>
      <c r="S95" t="s">
        <v>137</v>
      </c>
      <c r="T95">
        <v>0.108191</v>
      </c>
      <c r="U95">
        <v>6.5599999999999999E-3</v>
      </c>
      <c r="V95">
        <v>7.9799999999999999E-4</v>
      </c>
      <c r="W95">
        <v>2.13E-4</v>
      </c>
      <c r="X95">
        <v>1.4109999999999999E-3</v>
      </c>
      <c r="Y95">
        <v>71.45</v>
      </c>
      <c r="Z95" t="s">
        <v>137</v>
      </c>
      <c r="AA95">
        <v>28.19</v>
      </c>
      <c r="AB95">
        <v>1.71</v>
      </c>
      <c r="AC95">
        <v>0.21</v>
      </c>
      <c r="AD95">
        <v>0.06</v>
      </c>
      <c r="AE95">
        <v>0.37</v>
      </c>
    </row>
    <row r="96" spans="1:31" x14ac:dyDescent="0.3">
      <c r="A96" t="s">
        <v>100</v>
      </c>
      <c r="B96">
        <v>3</v>
      </c>
      <c r="C96">
        <v>3</v>
      </c>
      <c r="D96">
        <v>3</v>
      </c>
      <c r="E96">
        <v>2</v>
      </c>
      <c r="F96">
        <v>0.9</v>
      </c>
      <c r="G96">
        <v>0.9</v>
      </c>
      <c r="H96">
        <v>5.0000000000000001E-3</v>
      </c>
      <c r="I96">
        <v>120</v>
      </c>
      <c r="J96">
        <v>100</v>
      </c>
      <c r="K96">
        <v>1.3670340000000001</v>
      </c>
      <c r="L96">
        <v>2.305199</v>
      </c>
      <c r="M96">
        <v>108.87</v>
      </c>
      <c r="N96">
        <v>39</v>
      </c>
      <c r="O96">
        <v>61</v>
      </c>
      <c r="P96">
        <v>5.287E-3</v>
      </c>
      <c r="Q96">
        <v>0.91869800000000001</v>
      </c>
      <c r="R96">
        <v>0.92398499999999995</v>
      </c>
      <c r="S96" t="s">
        <v>137</v>
      </c>
      <c r="T96">
        <v>0.42095700000000003</v>
      </c>
      <c r="U96">
        <v>2.2386E-2</v>
      </c>
      <c r="V96">
        <v>1.1000000000000001E-3</v>
      </c>
      <c r="W96">
        <v>5.6899999999999995E-4</v>
      </c>
      <c r="X96">
        <v>2.2092000000000001E-2</v>
      </c>
      <c r="Y96">
        <v>67.59</v>
      </c>
      <c r="Z96" t="s">
        <v>137</v>
      </c>
      <c r="AA96">
        <v>30.79</v>
      </c>
      <c r="AB96">
        <v>1.64</v>
      </c>
      <c r="AC96">
        <v>0.08</v>
      </c>
      <c r="AD96">
        <v>0.04</v>
      </c>
      <c r="AE96">
        <v>1.62</v>
      </c>
    </row>
    <row r="97" spans="1:31" x14ac:dyDescent="0.3">
      <c r="A97" t="s">
        <v>101</v>
      </c>
      <c r="B97">
        <v>3</v>
      </c>
      <c r="C97">
        <v>3</v>
      </c>
      <c r="D97">
        <v>3</v>
      </c>
      <c r="E97">
        <v>2</v>
      </c>
      <c r="F97">
        <v>0.9</v>
      </c>
      <c r="G97">
        <v>0.9</v>
      </c>
      <c r="H97">
        <v>5.0000000000000001E-3</v>
      </c>
      <c r="I97">
        <v>120</v>
      </c>
      <c r="J97">
        <v>100</v>
      </c>
      <c r="K97">
        <v>2.796853</v>
      </c>
      <c r="L97">
        <v>10.577261999999999</v>
      </c>
      <c r="M97">
        <v>195.75</v>
      </c>
      <c r="N97">
        <v>19</v>
      </c>
      <c r="O97">
        <v>81</v>
      </c>
      <c r="P97">
        <v>5.0749999999999997E-3</v>
      </c>
      <c r="Q97">
        <v>1.025363</v>
      </c>
      <c r="R97">
        <v>1.030438</v>
      </c>
      <c r="S97" t="s">
        <v>137</v>
      </c>
      <c r="T97">
        <v>1.7350030000000001</v>
      </c>
      <c r="U97">
        <v>4.0899999999999999E-2</v>
      </c>
      <c r="V97">
        <v>7.6199999999999998E-4</v>
      </c>
      <c r="W97">
        <v>1.1559999999999999E-3</v>
      </c>
      <c r="X97">
        <v>3.1412000000000002E-2</v>
      </c>
      <c r="Y97">
        <v>36.840000000000003</v>
      </c>
      <c r="Z97" t="s">
        <v>137</v>
      </c>
      <c r="AA97">
        <v>62.03</v>
      </c>
      <c r="AB97">
        <v>1.46</v>
      </c>
      <c r="AC97">
        <v>0.03</v>
      </c>
      <c r="AD97">
        <v>0.04</v>
      </c>
      <c r="AE97">
        <v>1.1200000000000001</v>
      </c>
    </row>
    <row r="98" spans="1:31" x14ac:dyDescent="0.3">
      <c r="A98" t="s">
        <v>102</v>
      </c>
      <c r="B98">
        <v>3</v>
      </c>
      <c r="C98">
        <v>3</v>
      </c>
      <c r="D98">
        <v>3</v>
      </c>
      <c r="E98">
        <v>2</v>
      </c>
      <c r="F98">
        <v>0.9</v>
      </c>
      <c r="G98">
        <v>0.9</v>
      </c>
      <c r="H98">
        <v>5.0000000000000001E-3</v>
      </c>
      <c r="I98">
        <v>120</v>
      </c>
      <c r="J98">
        <v>100</v>
      </c>
      <c r="K98">
        <v>9.8760000000000001E-2</v>
      </c>
      <c r="L98">
        <v>3.8723E-2</v>
      </c>
      <c r="M98">
        <v>9.0500000000000007</v>
      </c>
      <c r="N98">
        <v>0</v>
      </c>
      <c r="O98">
        <v>100</v>
      </c>
      <c r="P98">
        <v>5.4780000000000002E-3</v>
      </c>
      <c r="Q98">
        <v>6.1178000000000003E-2</v>
      </c>
      <c r="R98">
        <v>6.6656000000000007E-2</v>
      </c>
      <c r="S98" t="s">
        <v>137</v>
      </c>
      <c r="T98">
        <v>3.2104000000000001E-2</v>
      </c>
      <c r="U98">
        <v>1.485E-3</v>
      </c>
      <c r="V98">
        <v>7.1900000000000002E-4</v>
      </c>
      <c r="W98">
        <v>4.8999999999999998E-5</v>
      </c>
      <c r="X98">
        <v>0</v>
      </c>
      <c r="Y98">
        <v>67.489999999999995</v>
      </c>
      <c r="Z98" t="s">
        <v>137</v>
      </c>
      <c r="AA98">
        <v>32.51</v>
      </c>
      <c r="AB98">
        <v>1.5</v>
      </c>
      <c r="AC98">
        <v>0.73</v>
      </c>
      <c r="AD98">
        <v>0.05</v>
      </c>
      <c r="AE98">
        <v>0</v>
      </c>
    </row>
    <row r="99" spans="1:31" x14ac:dyDescent="0.3">
      <c r="A99" t="s">
        <v>103</v>
      </c>
      <c r="B99">
        <v>3</v>
      </c>
      <c r="C99">
        <v>3</v>
      </c>
      <c r="D99">
        <v>3</v>
      </c>
      <c r="E99">
        <v>2</v>
      </c>
      <c r="F99">
        <v>0.9</v>
      </c>
      <c r="G99">
        <v>0.9</v>
      </c>
      <c r="H99">
        <v>5.0000000000000001E-3</v>
      </c>
      <c r="I99">
        <v>120</v>
      </c>
      <c r="J99">
        <v>100</v>
      </c>
      <c r="K99">
        <v>0.89586699999999997</v>
      </c>
      <c r="L99">
        <v>1.363367</v>
      </c>
      <c r="M99">
        <v>69.760000000000005</v>
      </c>
      <c r="N99">
        <v>37</v>
      </c>
      <c r="O99">
        <v>63</v>
      </c>
      <c r="P99">
        <v>5.2319999999999997E-3</v>
      </c>
      <c r="Q99">
        <v>0.63114999999999999</v>
      </c>
      <c r="R99">
        <v>0.636382</v>
      </c>
      <c r="S99" t="s">
        <v>137</v>
      </c>
      <c r="T99">
        <v>0.25059999999999999</v>
      </c>
      <c r="U99">
        <v>1.4250000000000001E-2</v>
      </c>
      <c r="V99">
        <v>8.6499999999999999E-4</v>
      </c>
      <c r="W99">
        <v>3.79E-4</v>
      </c>
      <c r="X99">
        <v>8.8850000000000005E-3</v>
      </c>
      <c r="Y99">
        <v>71.040000000000006</v>
      </c>
      <c r="Z99" t="s">
        <v>137</v>
      </c>
      <c r="AA99">
        <v>27.97</v>
      </c>
      <c r="AB99">
        <v>1.59</v>
      </c>
      <c r="AC99">
        <v>0.1</v>
      </c>
      <c r="AD99">
        <v>0.04</v>
      </c>
      <c r="AE99">
        <v>0.99</v>
      </c>
    </row>
    <row r="100" spans="1:31" x14ac:dyDescent="0.3">
      <c r="A100" t="s">
        <v>104</v>
      </c>
      <c r="B100">
        <v>3</v>
      </c>
      <c r="C100">
        <v>3</v>
      </c>
      <c r="D100">
        <v>3</v>
      </c>
      <c r="E100">
        <v>2</v>
      </c>
      <c r="F100">
        <v>0.9</v>
      </c>
      <c r="G100">
        <v>0.9</v>
      </c>
      <c r="H100">
        <v>5.0000000000000001E-3</v>
      </c>
      <c r="I100">
        <v>120</v>
      </c>
      <c r="J100">
        <v>100</v>
      </c>
      <c r="K100">
        <v>2.8146949999999999</v>
      </c>
      <c r="L100">
        <v>7.6694279999999999</v>
      </c>
      <c r="M100">
        <v>179.25</v>
      </c>
      <c r="N100">
        <v>43</v>
      </c>
      <c r="O100">
        <v>57</v>
      </c>
      <c r="P100">
        <v>4.9329999999999999E-3</v>
      </c>
      <c r="Q100">
        <v>1.417044</v>
      </c>
      <c r="R100">
        <v>1.421978</v>
      </c>
      <c r="S100" t="s">
        <v>137</v>
      </c>
      <c r="T100">
        <v>1.363181</v>
      </c>
      <c r="U100">
        <v>3.7248000000000003E-2</v>
      </c>
      <c r="V100">
        <v>1.029E-3</v>
      </c>
      <c r="W100">
        <v>1.256E-3</v>
      </c>
      <c r="X100">
        <v>2.9534999999999999E-2</v>
      </c>
      <c r="Y100">
        <v>50.52</v>
      </c>
      <c r="Z100" t="s">
        <v>137</v>
      </c>
      <c r="AA100">
        <v>48.43</v>
      </c>
      <c r="AB100">
        <v>1.32</v>
      </c>
      <c r="AC100">
        <v>0.04</v>
      </c>
      <c r="AD100">
        <v>0.04</v>
      </c>
      <c r="AE100">
        <v>1.05</v>
      </c>
    </row>
    <row r="101" spans="1:31" x14ac:dyDescent="0.3">
      <c r="A101" t="s">
        <v>105</v>
      </c>
      <c r="B101">
        <v>3</v>
      </c>
      <c r="C101">
        <v>3</v>
      </c>
      <c r="D101">
        <v>3</v>
      </c>
      <c r="E101">
        <v>2</v>
      </c>
      <c r="F101">
        <v>0.9</v>
      </c>
      <c r="G101">
        <v>0.9</v>
      </c>
      <c r="H101">
        <v>5.0000000000000001E-3</v>
      </c>
      <c r="I101">
        <v>120</v>
      </c>
      <c r="J101">
        <v>100</v>
      </c>
      <c r="K101">
        <v>0.37492999999999999</v>
      </c>
      <c r="L101">
        <v>1.574802</v>
      </c>
      <c r="M101">
        <v>30.62</v>
      </c>
      <c r="N101">
        <v>6</v>
      </c>
      <c r="O101">
        <v>94</v>
      </c>
      <c r="P101">
        <v>5.4489999999999999E-3</v>
      </c>
      <c r="Q101">
        <v>0.23105400000000001</v>
      </c>
      <c r="R101">
        <v>0.23650299999999999</v>
      </c>
      <c r="S101" t="s">
        <v>137</v>
      </c>
      <c r="T101">
        <v>0.135766</v>
      </c>
      <c r="U101">
        <v>6.1040000000000001E-3</v>
      </c>
      <c r="V101">
        <v>7.3099999999999999E-4</v>
      </c>
      <c r="W101">
        <v>1.6799999999999999E-4</v>
      </c>
      <c r="X101">
        <v>2.6610000000000002E-3</v>
      </c>
      <c r="Y101">
        <v>63.08</v>
      </c>
      <c r="Z101" t="s">
        <v>137</v>
      </c>
      <c r="AA101">
        <v>36.21</v>
      </c>
      <c r="AB101">
        <v>1.63</v>
      </c>
      <c r="AC101">
        <v>0.19</v>
      </c>
      <c r="AD101">
        <v>0.04</v>
      </c>
      <c r="AE101">
        <v>0.71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8948-F111-438C-979B-44FA00F66655}">
  <dimension ref="B3:N108"/>
  <sheetViews>
    <sheetView zoomScale="53" workbookViewId="0">
      <selection activeCell="AD28" sqref="AD28"/>
    </sheetView>
  </sheetViews>
  <sheetFormatPr defaultRowHeight="14.4" x14ac:dyDescent="0.3"/>
  <cols>
    <col min="2" max="2" width="19.33203125" customWidth="1"/>
    <col min="19" max="19" width="19.109375" customWidth="1"/>
  </cols>
  <sheetData>
    <row r="3" spans="2:14" x14ac:dyDescent="0.3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3">
      <c r="B6" s="1"/>
    </row>
    <row r="7" spans="2:14" x14ac:dyDescent="0.3">
      <c r="B7" s="4" t="s">
        <v>1</v>
      </c>
      <c r="C7" s="4" t="s">
        <v>2</v>
      </c>
      <c r="D7" s="4"/>
      <c r="E7" s="4"/>
      <c r="F7" s="5" t="s">
        <v>3</v>
      </c>
      <c r="G7" s="5"/>
      <c r="H7" s="5"/>
      <c r="I7" s="6" t="s">
        <v>4</v>
      </c>
      <c r="J7" s="7"/>
      <c r="K7" s="8"/>
      <c r="L7" s="5" t="s">
        <v>5</v>
      </c>
      <c r="M7" s="5"/>
      <c r="N7" s="5"/>
    </row>
    <row r="8" spans="2:14" x14ac:dyDescent="0.3">
      <c r="B8" s="4"/>
      <c r="C8" s="2">
        <v>0</v>
      </c>
      <c r="D8" s="2">
        <v>3</v>
      </c>
      <c r="E8" s="2">
        <v>4</v>
      </c>
      <c r="F8" s="2">
        <v>0</v>
      </c>
      <c r="G8" s="2">
        <v>3</v>
      </c>
      <c r="H8" s="2">
        <v>4</v>
      </c>
      <c r="I8" s="2">
        <v>0</v>
      </c>
      <c r="J8" s="2">
        <v>3</v>
      </c>
      <c r="K8" s="2">
        <v>4</v>
      </c>
      <c r="L8" s="2">
        <v>0</v>
      </c>
      <c r="M8" s="2">
        <v>3</v>
      </c>
      <c r="N8" s="2">
        <v>4</v>
      </c>
    </row>
    <row r="9" spans="2:14" x14ac:dyDescent="0.3">
      <c r="B9" t="s">
        <v>6</v>
      </c>
      <c r="C9" s="2">
        <f>MAX('CP-ACS'!J2)</f>
        <v>99</v>
      </c>
      <c r="D9" s="2">
        <f>MAX('CP-DCM-ACO'!J2)</f>
        <v>100</v>
      </c>
      <c r="E9" s="2">
        <f>MAX('MT-CP-DCM-ACO'!J2)</f>
        <v>100</v>
      </c>
      <c r="F9" s="2">
        <f>MIN('CP-ACS'!K2)</f>
        <v>3.3822429999999999</v>
      </c>
      <c r="G9" s="2">
        <f>MIN('CP-DCM-ACO'!K2)</f>
        <v>3.3814129999999998</v>
      </c>
      <c r="H9" s="2">
        <f>MIN('MT-CP-DCM-ACO'!K2)</f>
        <v>1.986067</v>
      </c>
      <c r="I9" s="2">
        <f>MIN('CP-ACS'!L2)</f>
        <v>6.2100989999999996</v>
      </c>
      <c r="J9" s="2">
        <f>MIN('CP-DCM-ACO'!L2)</f>
        <v>2.5771540000000002</v>
      </c>
      <c r="K9" s="2">
        <f>MIN('MT-CP-DCM-ACO'!L2)</f>
        <v>1.1938139999999999</v>
      </c>
      <c r="L9" s="2">
        <f>MIN('CP-ACS'!M2)</f>
        <v>81</v>
      </c>
      <c r="M9" s="2">
        <f>MIN('CP-DCM-ACO'!M2)</f>
        <v>123.66</v>
      </c>
      <c r="N9" s="2">
        <f>MIN('MT-CP-DCM-ACO'!M2)</f>
        <v>61.94</v>
      </c>
    </row>
    <row r="10" spans="2:14" x14ac:dyDescent="0.3">
      <c r="B10" t="s">
        <v>7</v>
      </c>
      <c r="C10" s="2">
        <f>MAX('CP-ACS'!J3)</f>
        <v>96</v>
      </c>
      <c r="D10" s="2">
        <f>MAX('CP-DCM-ACO'!J3)</f>
        <v>100</v>
      </c>
      <c r="E10" s="2">
        <f>MAX('MT-CP-DCM-ACO'!J3)</f>
        <v>100</v>
      </c>
      <c r="F10" s="2">
        <f>MIN('CP-ACS'!K3)</f>
        <v>6.014875</v>
      </c>
      <c r="G10" s="2">
        <f>MIN('CP-DCM-ACO'!K3)</f>
        <v>6.3167299999999997</v>
      </c>
      <c r="H10" s="2">
        <f>MIN('MT-CP-DCM-ACO'!K3)</f>
        <v>3.0893760000000001</v>
      </c>
      <c r="I10" s="2">
        <f>MIN('CP-ACS'!L3)</f>
        <v>8.5443449999999999</v>
      </c>
      <c r="J10" s="2">
        <f>MIN('CP-DCM-ACO'!L3)</f>
        <v>4.5192449999999997</v>
      </c>
      <c r="K10" s="2">
        <f>MIN('MT-CP-DCM-ACO'!L3)</f>
        <v>1.846924</v>
      </c>
      <c r="L10" s="2">
        <f>MIN('CP-ACS'!M3)</f>
        <v>140.94999999999999</v>
      </c>
      <c r="M10" s="2">
        <f>MIN('CP-DCM-ACO'!M3)</f>
        <v>226.71</v>
      </c>
      <c r="N10" s="2">
        <f>MIN('MT-CP-DCM-ACO'!M3)</f>
        <v>100.69</v>
      </c>
    </row>
    <row r="11" spans="2:14" x14ac:dyDescent="0.3">
      <c r="B11" t="s">
        <v>8</v>
      </c>
      <c r="C11" s="2">
        <f>MAX('CP-ACS'!J4)</f>
        <v>96</v>
      </c>
      <c r="D11" s="2">
        <f>MAX('CP-DCM-ACO'!J4)</f>
        <v>100</v>
      </c>
      <c r="E11" s="2">
        <f>MAX('MT-CP-DCM-ACO'!J4)</f>
        <v>100</v>
      </c>
      <c r="F11" s="2">
        <f>MIN('CP-ACS'!K4)</f>
        <v>7.6785100000000002</v>
      </c>
      <c r="G11" s="2">
        <f>MIN('CP-DCM-ACO'!K4)</f>
        <v>8.1684230000000007</v>
      </c>
      <c r="H11" s="2">
        <f>MIN('MT-CP-DCM-ACO'!K4)</f>
        <v>3.8590409999999999</v>
      </c>
      <c r="I11" s="2">
        <f>MIN('CP-ACS'!L4)</f>
        <v>9.2067119999999996</v>
      </c>
      <c r="J11" s="2">
        <f>MIN('CP-DCM-ACO'!L4)</f>
        <v>5.7299930000000003</v>
      </c>
      <c r="K11" s="2">
        <f>MIN('MT-CP-DCM-ACO'!L4)</f>
        <v>1.96488</v>
      </c>
      <c r="L11" s="2">
        <f>MIN('CP-ACS'!M4)</f>
        <v>180.09</v>
      </c>
      <c r="M11" s="2">
        <f>MIN('CP-DCM-ACO'!M4)</f>
        <v>296.14999999999998</v>
      </c>
      <c r="N11" s="2">
        <f>MIN('MT-CP-DCM-ACO'!M4)</f>
        <v>127.38</v>
      </c>
    </row>
    <row r="12" spans="2:14" x14ac:dyDescent="0.3">
      <c r="B12" t="s">
        <v>9</v>
      </c>
      <c r="C12" s="2">
        <f>MAX('CP-ACS'!J5)</f>
        <v>97</v>
      </c>
      <c r="D12" s="2">
        <f>MAX('CP-DCM-ACO'!J5)</f>
        <v>100</v>
      </c>
      <c r="E12" s="2">
        <f>MAX('MT-CP-DCM-ACO'!J5)</f>
        <v>100</v>
      </c>
      <c r="F12" s="2">
        <f>MIN('CP-ACS'!K5)</f>
        <v>4.357386</v>
      </c>
      <c r="G12" s="2">
        <f>MIN('CP-DCM-ACO'!K5)</f>
        <v>8.1981610000000007</v>
      </c>
      <c r="H12" s="2">
        <f>MIN('MT-CP-DCM-ACO'!K5)</f>
        <v>3.0949360000000001</v>
      </c>
      <c r="I12" s="2">
        <f>MIN('CP-ACS'!L5)</f>
        <v>4.6830069999999999</v>
      </c>
      <c r="J12" s="2">
        <f>MIN('CP-DCM-ACO'!L5)</f>
        <v>6.9730809999999996</v>
      </c>
      <c r="K12" s="2">
        <f>MIN('MT-CP-DCM-ACO'!L5)</f>
        <v>1.995576</v>
      </c>
      <c r="L12" s="2">
        <f>MIN('CP-ACS'!M5)</f>
        <v>104.8</v>
      </c>
      <c r="M12" s="2">
        <f>MIN('CP-DCM-ACO'!M5)</f>
        <v>221.94</v>
      </c>
      <c r="N12" s="2">
        <f>MIN('MT-CP-DCM-ACO'!M5)</f>
        <v>100.52</v>
      </c>
    </row>
    <row r="13" spans="2:14" x14ac:dyDescent="0.3">
      <c r="B13" t="s">
        <v>10</v>
      </c>
      <c r="C13" s="2">
        <f>MAX('CP-ACS'!J6)</f>
        <v>92</v>
      </c>
      <c r="D13" s="2">
        <f>MAX('CP-DCM-ACO'!J6)</f>
        <v>100</v>
      </c>
      <c r="E13" s="2">
        <f>MAX('MT-CP-DCM-ACO'!J6)</f>
        <v>100</v>
      </c>
      <c r="F13" s="2">
        <f>MIN('CP-ACS'!K6)</f>
        <v>9.802543</v>
      </c>
      <c r="G13" s="2">
        <f>MIN('CP-DCM-ACO'!K6)</f>
        <v>10.997398</v>
      </c>
      <c r="H13" s="2">
        <f>MIN('MT-CP-DCM-ACO'!K6)</f>
        <v>4.3534649999999999</v>
      </c>
      <c r="I13" s="2">
        <f>MIN('CP-ACS'!L6)</f>
        <v>19.625461000000001</v>
      </c>
      <c r="J13" s="2">
        <f>MIN('CP-DCM-ACO'!L6)</f>
        <v>12.308337999999999</v>
      </c>
      <c r="K13" s="2">
        <f>MIN('MT-CP-DCM-ACO'!L6)</f>
        <v>2.772335</v>
      </c>
      <c r="L13" s="2">
        <f>MIN('CP-ACS'!M6)</f>
        <v>228.77</v>
      </c>
      <c r="M13" s="2">
        <f>MIN('CP-DCM-ACO'!M6)</f>
        <v>293.92</v>
      </c>
      <c r="N13" s="2">
        <f>MIN('MT-CP-DCM-ACO'!M6)</f>
        <v>147.68</v>
      </c>
    </row>
    <row r="14" spans="2:14" x14ac:dyDescent="0.3">
      <c r="B14" t="s">
        <v>11</v>
      </c>
      <c r="C14" s="2">
        <f>MAX('CP-ACS'!J7)</f>
        <v>93</v>
      </c>
      <c r="D14" s="2">
        <f>MAX('CP-DCM-ACO'!J7)</f>
        <v>100</v>
      </c>
      <c r="E14" s="2">
        <f>MAX('MT-CP-DCM-ACO'!J7)</f>
        <v>100</v>
      </c>
      <c r="F14" s="2">
        <f>MIN('CP-ACS'!K7)</f>
        <v>8.0626909999999992</v>
      </c>
      <c r="G14" s="2">
        <f>MIN('CP-DCM-ACO'!K7)</f>
        <v>6.5547380000000004</v>
      </c>
      <c r="H14" s="2">
        <f>MIN('MT-CP-DCM-ACO'!K7)</f>
        <v>3.109953</v>
      </c>
      <c r="I14" s="2">
        <f>MIN('CP-ACS'!L7)</f>
        <v>13.05574</v>
      </c>
      <c r="J14" s="2">
        <f>MIN('CP-DCM-ACO'!L7)</f>
        <v>7.6562130000000002</v>
      </c>
      <c r="K14" s="2">
        <f>MIN('MT-CP-DCM-ACO'!L7)</f>
        <v>1.985949</v>
      </c>
      <c r="L14" s="2">
        <f>MIN('CP-ACS'!M7)</f>
        <v>187.19</v>
      </c>
      <c r="M14" s="2">
        <f>MIN('CP-DCM-ACO'!M7)</f>
        <v>228.37</v>
      </c>
      <c r="N14" s="2">
        <f>MIN('MT-CP-DCM-ACO'!M7)</f>
        <v>103.11</v>
      </c>
    </row>
    <row r="15" spans="2:14" x14ac:dyDescent="0.3">
      <c r="B15" t="s">
        <v>12</v>
      </c>
      <c r="C15" s="2">
        <f>MAX('CP-ACS'!J8)</f>
        <v>99</v>
      </c>
      <c r="D15" s="2">
        <f>MAX('CP-DCM-ACO'!J8)</f>
        <v>100</v>
      </c>
      <c r="E15" s="2">
        <f>MAX('MT-CP-DCM-ACO'!J8)</f>
        <v>100</v>
      </c>
      <c r="F15" s="2">
        <f>MIN('CP-ACS'!K8)</f>
        <v>3.2147039999999998</v>
      </c>
      <c r="G15" s="2">
        <f>MIN('CP-DCM-ACO'!K8)</f>
        <v>4.6828120000000002</v>
      </c>
      <c r="H15" s="2">
        <f>MIN('MT-CP-DCM-ACO'!K8)</f>
        <v>2.0619770000000002</v>
      </c>
      <c r="I15" s="2">
        <f>MIN('CP-ACS'!L8)</f>
        <v>5.6347550000000002</v>
      </c>
      <c r="J15" s="2">
        <f>MIN('CP-DCM-ACO'!L8)</f>
        <v>3.7878029999999998</v>
      </c>
      <c r="K15" s="2">
        <f>MIN('MT-CP-DCM-ACO'!L8)</f>
        <v>1.120139</v>
      </c>
      <c r="L15" s="2">
        <f>MIN('CP-ACS'!M8)</f>
        <v>77.89</v>
      </c>
      <c r="M15" s="2">
        <f>MIN('CP-DCM-ACO'!M8)</f>
        <v>155.28</v>
      </c>
      <c r="N15" s="2">
        <f>MIN('MT-CP-DCM-ACO'!M8)</f>
        <v>68.599999999999994</v>
      </c>
    </row>
    <row r="16" spans="2:14" x14ac:dyDescent="0.3">
      <c r="B16" t="s">
        <v>13</v>
      </c>
      <c r="C16" s="2">
        <f>MAX('CP-ACS'!J9)</f>
        <v>96</v>
      </c>
      <c r="D16" s="2">
        <f>MAX('CP-DCM-ACO'!J9)</f>
        <v>100</v>
      </c>
      <c r="E16" s="2">
        <f>MAX('MT-CP-DCM-ACO'!J9)</f>
        <v>100</v>
      </c>
      <c r="F16" s="2">
        <f>MIN('CP-ACS'!K9)</f>
        <v>3.684984</v>
      </c>
      <c r="G16" s="2">
        <f>MIN('CP-DCM-ACO'!K9)</f>
        <v>4.8043680000000002</v>
      </c>
      <c r="H16" s="2">
        <f>MIN('MT-CP-DCM-ACO'!K9)</f>
        <v>2.1466660000000002</v>
      </c>
      <c r="I16" s="2">
        <f>MIN('CP-ACS'!L9)</f>
        <v>5.4529069999999997</v>
      </c>
      <c r="J16" s="2">
        <f>MIN('CP-DCM-ACO'!L9)</f>
        <v>3.2339549999999999</v>
      </c>
      <c r="K16" s="2">
        <f>MIN('MT-CP-DCM-ACO'!L9)</f>
        <v>1.2047859999999999</v>
      </c>
      <c r="L16" s="2">
        <f>MIN('CP-ACS'!M9)</f>
        <v>92.35</v>
      </c>
      <c r="M16" s="2">
        <f>MIN('CP-DCM-ACO'!M9)</f>
        <v>150.15</v>
      </c>
      <c r="N16" s="2">
        <f>MIN('MT-CP-DCM-ACO'!M9)</f>
        <v>74.13</v>
      </c>
    </row>
    <row r="17" spans="2:14" x14ac:dyDescent="0.3">
      <c r="B17" t="s">
        <v>14</v>
      </c>
      <c r="C17" s="2">
        <f>MAX('CP-ACS'!J10)</f>
        <v>97</v>
      </c>
      <c r="D17" s="2">
        <f>MAX('CP-DCM-ACO'!J10)</f>
        <v>100</v>
      </c>
      <c r="E17" s="2">
        <f>MAX('MT-CP-DCM-ACO'!J10)</f>
        <v>100</v>
      </c>
      <c r="F17" s="2">
        <f>MIN('CP-ACS'!K10)</f>
        <v>6.9178940000000004</v>
      </c>
      <c r="G17" s="2">
        <f>MIN('CP-DCM-ACO'!K10)</f>
        <v>6.1535979999999997</v>
      </c>
      <c r="H17" s="2">
        <f>MIN('MT-CP-DCM-ACO'!K10)</f>
        <v>3.478186</v>
      </c>
      <c r="I17" s="2">
        <f>MIN('CP-ACS'!L10)</f>
        <v>16.209624999999999</v>
      </c>
      <c r="J17" s="2">
        <f>MIN('CP-DCM-ACO'!L10)</f>
        <v>4.95967</v>
      </c>
      <c r="K17" s="2">
        <f>MIN('MT-CP-DCM-ACO'!L10)</f>
        <v>2.3733499999999998</v>
      </c>
      <c r="L17" s="2">
        <f>MIN('CP-ACS'!M10)</f>
        <v>173.94</v>
      </c>
      <c r="M17" s="2">
        <f>MIN('CP-DCM-ACO'!M10)</f>
        <v>233.77</v>
      </c>
      <c r="N17" s="2">
        <f>MIN('MT-CP-DCM-ACO'!M10)</f>
        <v>114.89</v>
      </c>
    </row>
    <row r="18" spans="2:14" x14ac:dyDescent="0.3">
      <c r="B18" t="s">
        <v>15</v>
      </c>
      <c r="C18" s="2">
        <f>MAX('CP-ACS'!J11)</f>
        <v>97</v>
      </c>
      <c r="D18" s="2">
        <f>MAX('CP-DCM-ACO'!J11)</f>
        <v>100</v>
      </c>
      <c r="E18" s="2">
        <f>MAX('MT-CP-DCM-ACO'!J11)</f>
        <v>100</v>
      </c>
      <c r="F18" s="2">
        <f>MIN('CP-ACS'!K11)</f>
        <v>5.4257039999999996</v>
      </c>
      <c r="G18" s="2">
        <f>MIN('CP-DCM-ACO'!K11)</f>
        <v>4.9586829999999997</v>
      </c>
      <c r="H18" s="2">
        <f>MIN('MT-CP-DCM-ACO'!K11)</f>
        <v>2.5135990000000001</v>
      </c>
      <c r="I18" s="2">
        <f>MIN('CP-ACS'!L11)</f>
        <v>16.567532</v>
      </c>
      <c r="J18" s="2">
        <f>MIN('CP-DCM-ACO'!L11)</f>
        <v>4.5117459999999996</v>
      </c>
      <c r="K18" s="2">
        <f>MIN('MT-CP-DCM-ACO'!L11)</f>
        <v>1.657896</v>
      </c>
      <c r="L18" s="2">
        <f>MIN('CP-ACS'!M11)</f>
        <v>128.63999999999999</v>
      </c>
      <c r="M18" s="2">
        <f>MIN('CP-DCM-ACO'!M11)</f>
        <v>161.11000000000001</v>
      </c>
      <c r="N18" s="2">
        <f>MIN('MT-CP-DCM-ACO'!M11)</f>
        <v>85.77</v>
      </c>
    </row>
    <row r="19" spans="2:14" x14ac:dyDescent="0.3">
      <c r="B19" t="s">
        <v>16</v>
      </c>
      <c r="C19" s="2">
        <f>MAX('CP-ACS'!J12)</f>
        <v>37</v>
      </c>
      <c r="D19" s="2">
        <f>MAX('CP-DCM-ACO'!J12)</f>
        <v>59</v>
      </c>
      <c r="E19" s="2">
        <f>MAX('MT-CP-DCM-ACO'!J12)</f>
        <v>99</v>
      </c>
      <c r="F19" s="2">
        <f>MIN('CP-ACS'!K12)</f>
        <v>19.547435</v>
      </c>
      <c r="G19" s="2">
        <f>MIN('CP-DCM-ACO'!K12)</f>
        <v>25.897316</v>
      </c>
      <c r="H19" s="2">
        <f>MIN('MT-CP-DCM-ACO'!K12)</f>
        <v>14.519876999999999</v>
      </c>
      <c r="I19" s="2">
        <f>MIN('CP-ACS'!L12)</f>
        <v>21.964074</v>
      </c>
      <c r="J19" s="2">
        <f>MIN('CP-DCM-ACO'!L12)</f>
        <v>27.92211</v>
      </c>
      <c r="K19" s="2">
        <f>MIN('MT-CP-DCM-ACO'!L12)</f>
        <v>16.104476999999999</v>
      </c>
      <c r="L19" s="2">
        <f>MIN('CP-ACS'!M12)</f>
        <v>624.08000000000004</v>
      </c>
      <c r="M19" s="2">
        <f>MIN('CP-DCM-ACO'!M12)</f>
        <v>1197.58</v>
      </c>
      <c r="N19" s="2">
        <f>MIN('MT-CP-DCM-ACO'!M12)</f>
        <v>675</v>
      </c>
    </row>
    <row r="20" spans="2:14" x14ac:dyDescent="0.3">
      <c r="B20" t="s">
        <v>17</v>
      </c>
      <c r="C20" s="2">
        <f>MAX('CP-ACS'!J13)</f>
        <v>84</v>
      </c>
      <c r="D20" s="2">
        <f>MAX('CP-DCM-ACO'!J13)</f>
        <v>99</v>
      </c>
      <c r="E20" s="2">
        <f>MAX('MT-CP-DCM-ACO'!J13)</f>
        <v>100</v>
      </c>
      <c r="F20" s="2">
        <f>MIN('CP-ACS'!K13)</f>
        <v>10.310214999999999</v>
      </c>
      <c r="G20" s="2">
        <f>MIN('CP-DCM-ACO'!K13)</f>
        <v>6.9264549999999998</v>
      </c>
      <c r="H20" s="2">
        <f>MIN('MT-CP-DCM-ACO'!K13)</f>
        <v>2.800627</v>
      </c>
      <c r="I20" s="2">
        <f>MIN('CP-ACS'!L13)</f>
        <v>19.044917999999999</v>
      </c>
      <c r="J20" s="2">
        <f>MIN('CP-DCM-ACO'!L13)</f>
        <v>8.5854250000000008</v>
      </c>
      <c r="K20" s="2">
        <f>MIN('MT-CP-DCM-ACO'!L13)</f>
        <v>2.762057</v>
      </c>
      <c r="L20" s="2">
        <f>MIN('CP-ACS'!M13)</f>
        <v>338.83</v>
      </c>
      <c r="M20" s="2">
        <f>MIN('CP-DCM-ACO'!M13)</f>
        <v>330.2</v>
      </c>
      <c r="N20" s="2">
        <f>MIN('MT-CP-DCM-ACO'!M13)</f>
        <v>136.41</v>
      </c>
    </row>
    <row r="21" spans="2:14" x14ac:dyDescent="0.3">
      <c r="B21" t="s">
        <v>18</v>
      </c>
      <c r="C21" s="2">
        <f>MAX('CP-ACS'!J14)</f>
        <v>93</v>
      </c>
      <c r="D21" s="2">
        <f>MAX('CP-DCM-ACO'!J14)</f>
        <v>100</v>
      </c>
      <c r="E21" s="2">
        <f>MAX('MT-CP-DCM-ACO'!J14)</f>
        <v>100</v>
      </c>
      <c r="F21" s="2">
        <f>MIN('CP-ACS'!K14)</f>
        <v>4.9662540000000002</v>
      </c>
      <c r="G21" s="2">
        <f>MIN('CP-DCM-ACO'!K14)</f>
        <v>2.9481480000000002</v>
      </c>
      <c r="H21" s="2">
        <f>MIN('MT-CP-DCM-ACO'!K14)</f>
        <v>0.96301199999999998</v>
      </c>
      <c r="I21" s="2">
        <f>MIN('CP-ACS'!L14)</f>
        <v>11.362121999999999</v>
      </c>
      <c r="J21" s="2">
        <f>MIN('CP-DCM-ACO'!L14)</f>
        <v>5.7524490000000004</v>
      </c>
      <c r="K21" s="2">
        <f>MIN('MT-CP-DCM-ACO'!L14)</f>
        <v>0.63181500000000002</v>
      </c>
      <c r="L21" s="2">
        <f>MIN('CP-ACS'!M14)</f>
        <v>173.97</v>
      </c>
      <c r="M21" s="2">
        <f>MIN('CP-DCM-ACO'!M14)</f>
        <v>146.38</v>
      </c>
      <c r="N21" s="2">
        <f>MIN('MT-CP-DCM-ACO'!M14)</f>
        <v>45.69</v>
      </c>
    </row>
    <row r="22" spans="2:14" x14ac:dyDescent="0.3">
      <c r="B22" t="s">
        <v>19</v>
      </c>
      <c r="C22" s="2">
        <f>MAX('CP-ACS'!J15)</f>
        <v>67</v>
      </c>
      <c r="D22" s="2">
        <f>MAX('CP-DCM-ACO'!J15)</f>
        <v>92</v>
      </c>
      <c r="E22" s="2">
        <f>MAX('MT-CP-DCM-ACO'!J15)</f>
        <v>100</v>
      </c>
      <c r="F22" s="2">
        <f>MIN('CP-ACS'!K15)</f>
        <v>15.083443000000001</v>
      </c>
      <c r="G22" s="2">
        <f>MIN('CP-DCM-ACO'!K15)</f>
        <v>11.410258000000001</v>
      </c>
      <c r="H22" s="2">
        <f>MIN('MT-CP-DCM-ACO'!K15)</f>
        <v>5.2695959999999999</v>
      </c>
      <c r="I22" s="2">
        <f>MIN('CP-ACS'!L15)</f>
        <v>20.248811</v>
      </c>
      <c r="J22" s="2">
        <f>MIN('CP-DCM-ACO'!L15)</f>
        <v>16.09442</v>
      </c>
      <c r="K22" s="2">
        <f>MIN('MT-CP-DCM-ACO'!L15)</f>
        <v>4.4408159999999999</v>
      </c>
      <c r="L22" s="2">
        <f>MIN('CP-ACS'!M15)</f>
        <v>549.79</v>
      </c>
      <c r="M22" s="2">
        <f>MIN('CP-DCM-ACO'!M15)</f>
        <v>577.53</v>
      </c>
      <c r="N22" s="2">
        <f>MIN('MT-CP-DCM-ACO'!M15)</f>
        <v>247.26</v>
      </c>
    </row>
    <row r="23" spans="2:14" x14ac:dyDescent="0.3">
      <c r="B23" t="s">
        <v>20</v>
      </c>
      <c r="C23" s="2">
        <f>MAX('CP-ACS'!J16)</f>
        <v>80</v>
      </c>
      <c r="D23" s="2">
        <f>MAX('CP-DCM-ACO'!J16)</f>
        <v>99</v>
      </c>
      <c r="E23" s="2">
        <f>MAX('MT-CP-DCM-ACO'!J16)</f>
        <v>100</v>
      </c>
      <c r="F23" s="2">
        <f>MIN('CP-ACS'!K16)</f>
        <v>9.2361439999999995</v>
      </c>
      <c r="G23" s="2">
        <f>MIN('CP-DCM-ACO'!K16)</f>
        <v>6.607621</v>
      </c>
      <c r="H23" s="2">
        <f>MIN('MT-CP-DCM-ACO'!K16)</f>
        <v>2.2357770000000001</v>
      </c>
      <c r="I23" s="2">
        <f>MIN('CP-ACS'!L16)</f>
        <v>16.574379</v>
      </c>
      <c r="J23" s="2">
        <f>MIN('CP-DCM-ACO'!L16)</f>
        <v>8.6800359999999994</v>
      </c>
      <c r="K23" s="2">
        <f>MIN('MT-CP-DCM-ACO'!L16)</f>
        <v>1.5811740000000001</v>
      </c>
      <c r="L23" s="2">
        <f>MIN('CP-ACS'!M16)</f>
        <v>304.31</v>
      </c>
      <c r="M23" s="2">
        <f>MIN('CP-DCM-ACO'!M16)</f>
        <v>315.26</v>
      </c>
      <c r="N23" s="2">
        <f>MIN('MT-CP-DCM-ACO'!M16)</f>
        <v>103.7</v>
      </c>
    </row>
    <row r="24" spans="2:14" x14ac:dyDescent="0.3">
      <c r="B24" t="s">
        <v>21</v>
      </c>
      <c r="C24" s="2">
        <f>MAX('CP-ACS'!J17)</f>
        <v>84</v>
      </c>
      <c r="D24" s="2">
        <f>MAX('CP-DCM-ACO'!J17)</f>
        <v>100</v>
      </c>
      <c r="E24" s="2">
        <f>MAX('MT-CP-DCM-ACO'!J17)</f>
        <v>100</v>
      </c>
      <c r="F24" s="2">
        <f>MIN('CP-ACS'!K17)</f>
        <v>11.934984</v>
      </c>
      <c r="G24" s="2">
        <f>MIN('CP-DCM-ACO'!K17)</f>
        <v>7.1448689999999999</v>
      </c>
      <c r="H24" s="2">
        <f>MIN('MT-CP-DCM-ACO'!K17)</f>
        <v>2.6374179999999998</v>
      </c>
      <c r="I24" s="2">
        <f>MIN('CP-ACS'!L17)</f>
        <v>20.645416000000001</v>
      </c>
      <c r="J24" s="2">
        <f>MIN('CP-DCM-ACO'!L17)</f>
        <v>7.4693069999999997</v>
      </c>
      <c r="K24" s="2">
        <f>MIN('MT-CP-DCM-ACO'!L17)</f>
        <v>1.9759739999999999</v>
      </c>
      <c r="L24" s="2">
        <f>MIN('CP-ACS'!M17)</f>
        <v>369.88</v>
      </c>
      <c r="M24" s="2">
        <f>MIN('CP-DCM-ACO'!M17)</f>
        <v>319.20999999999998</v>
      </c>
      <c r="N24" s="2">
        <f>MIN('MT-CP-DCM-ACO'!M17)</f>
        <v>118.94</v>
      </c>
    </row>
    <row r="25" spans="2:14" x14ac:dyDescent="0.3">
      <c r="B25" t="s">
        <v>22</v>
      </c>
      <c r="C25" s="2">
        <f>MAX('CP-ACS'!J18)</f>
        <v>92</v>
      </c>
      <c r="D25" s="2">
        <f>MAX('CP-DCM-ACO'!J18)</f>
        <v>100</v>
      </c>
      <c r="E25" s="2">
        <f>MAX('MT-CP-DCM-ACO'!J18)</f>
        <v>100</v>
      </c>
      <c r="F25" s="2">
        <f>MIN('CP-ACS'!K18)</f>
        <v>5.7859949999999998</v>
      </c>
      <c r="G25" s="2">
        <f>MIN('CP-DCM-ACO'!K18)</f>
        <v>4.3836649999999997</v>
      </c>
      <c r="H25" s="2">
        <f>MIN('MT-CP-DCM-ACO'!K18)</f>
        <v>1.388037</v>
      </c>
      <c r="I25" s="2">
        <f>MIN('CP-ACS'!L18)</f>
        <v>11.912679000000001</v>
      </c>
      <c r="J25" s="2">
        <f>MIN('CP-DCM-ACO'!L18)</f>
        <v>5.3813120000000003</v>
      </c>
      <c r="K25" s="2">
        <f>MIN('MT-CP-DCM-ACO'!L18)</f>
        <v>0.99136500000000005</v>
      </c>
      <c r="L25" s="2">
        <f>MIN('CP-ACS'!M18)</f>
        <v>183.51</v>
      </c>
      <c r="M25" s="2">
        <f>MIN('CP-DCM-ACO'!M18)</f>
        <v>201.39</v>
      </c>
      <c r="N25" s="2">
        <f>MIN('MT-CP-DCM-ACO'!M18)</f>
        <v>64.27</v>
      </c>
    </row>
    <row r="26" spans="2:14" x14ac:dyDescent="0.3">
      <c r="B26" t="s">
        <v>23</v>
      </c>
      <c r="C26" s="2">
        <f>MAX('CP-ACS'!J19)</f>
        <v>75</v>
      </c>
      <c r="D26" s="2">
        <f>MAX('CP-DCM-ACO'!J19)</f>
        <v>97</v>
      </c>
      <c r="E26" s="2">
        <f>MAX('MT-CP-DCM-ACO'!J19)</f>
        <v>100</v>
      </c>
      <c r="F26" s="2">
        <f>MIN('CP-ACS'!K19)</f>
        <v>13.479756</v>
      </c>
      <c r="G26" s="2">
        <f>MIN('CP-DCM-ACO'!K19)</f>
        <v>16.287175000000001</v>
      </c>
      <c r="H26" s="2">
        <f>MIN('MT-CP-DCM-ACO'!K19)</f>
        <v>4.6920909999999996</v>
      </c>
      <c r="I26" s="2">
        <f>MIN('CP-ACS'!L19)</f>
        <v>19.830580999999999</v>
      </c>
      <c r="J26" s="2">
        <f>MIN('CP-DCM-ACO'!L19)</f>
        <v>17.122233000000001</v>
      </c>
      <c r="K26" s="2">
        <f>MIN('MT-CP-DCM-ACO'!L19)</f>
        <v>3.7423799999999998</v>
      </c>
      <c r="L26" s="2">
        <f>MIN('CP-ACS'!M19)</f>
        <v>463.05</v>
      </c>
      <c r="M26" s="2">
        <f>MIN('CP-DCM-ACO'!M19)</f>
        <v>690.08</v>
      </c>
      <c r="N26" s="2">
        <f>MIN('MT-CP-DCM-ACO'!M19)</f>
        <v>226.49</v>
      </c>
    </row>
    <row r="27" spans="2:14" x14ac:dyDescent="0.3">
      <c r="B27" t="s">
        <v>24</v>
      </c>
      <c r="C27" s="2">
        <f>MAX('CP-ACS'!J20)</f>
        <v>68</v>
      </c>
      <c r="D27" s="2">
        <f>MAX('CP-DCM-ACO'!J20)</f>
        <v>96</v>
      </c>
      <c r="E27" s="2">
        <f>MAX('MT-CP-DCM-ACO'!J20)</f>
        <v>100</v>
      </c>
      <c r="F27" s="2">
        <f>MIN('CP-ACS'!K20)</f>
        <v>14.089071000000001</v>
      </c>
      <c r="G27" s="2">
        <f>MIN('CP-DCM-ACO'!K20)</f>
        <v>10.482677000000001</v>
      </c>
      <c r="H27" s="2">
        <f>MIN('MT-CP-DCM-ACO'!K20)</f>
        <v>3.5444079999999998</v>
      </c>
      <c r="I27" s="2">
        <f>MIN('CP-ACS'!L20)</f>
        <v>20.960863</v>
      </c>
      <c r="J27" s="2">
        <f>MIN('CP-DCM-ACO'!L20)</f>
        <v>16.475854000000002</v>
      </c>
      <c r="K27" s="2">
        <f>MIN('MT-CP-DCM-ACO'!L20)</f>
        <v>2.802289</v>
      </c>
      <c r="L27" s="2">
        <f>MIN('CP-ACS'!M20)</f>
        <v>467.31</v>
      </c>
      <c r="M27" s="2">
        <f>MIN('CP-DCM-ACO'!M20)</f>
        <v>476.6</v>
      </c>
      <c r="N27" s="2">
        <f>MIN('MT-CP-DCM-ACO'!M20)</f>
        <v>167.57</v>
      </c>
    </row>
    <row r="28" spans="2:14" x14ac:dyDescent="0.3">
      <c r="B28" t="s">
        <v>25</v>
      </c>
      <c r="C28" s="2">
        <f>MAX('CP-ACS'!J21)</f>
        <v>66</v>
      </c>
      <c r="D28" s="2">
        <f>MAX('CP-DCM-ACO'!J21)</f>
        <v>94</v>
      </c>
      <c r="E28" s="2">
        <f>MAX('MT-CP-DCM-ACO'!J21)</f>
        <v>100</v>
      </c>
      <c r="F28" s="2">
        <f>MIN('CP-ACS'!K21)</f>
        <v>10.868178</v>
      </c>
      <c r="G28" s="2">
        <f>MIN('CP-DCM-ACO'!K21)</f>
        <v>14.317890999999999</v>
      </c>
      <c r="H28" s="2">
        <f>MIN('MT-CP-DCM-ACO'!K21)</f>
        <v>5.640377</v>
      </c>
      <c r="I28" s="2">
        <f>MIN('CP-ACS'!L21)</f>
        <v>16.769604000000001</v>
      </c>
      <c r="J28" s="2">
        <f>MIN('CP-DCM-ACO'!L21)</f>
        <v>18.152829000000001</v>
      </c>
      <c r="K28" s="2">
        <f>MIN('MT-CP-DCM-ACO'!L21)</f>
        <v>4.1041150000000002</v>
      </c>
      <c r="L28" s="2">
        <f>MIN('CP-ACS'!M21)</f>
        <v>358.74</v>
      </c>
      <c r="M28" s="2">
        <f>MIN('CP-DCM-ACO'!M21)</f>
        <v>609.42999999999995</v>
      </c>
      <c r="N28" s="2">
        <f>MIN('MT-CP-DCM-ACO'!M21)</f>
        <v>249.53</v>
      </c>
    </row>
    <row r="29" spans="2:14" x14ac:dyDescent="0.3">
      <c r="B29" t="s">
        <v>26</v>
      </c>
      <c r="C29" s="2">
        <f>MAX('CP-ACS'!J22)</f>
        <v>80</v>
      </c>
      <c r="D29" s="2">
        <f>MAX('CP-DCM-ACO'!J22)</f>
        <v>99</v>
      </c>
      <c r="E29" s="2">
        <f>MAX('MT-CP-DCM-ACO'!J22)</f>
        <v>100</v>
      </c>
      <c r="F29" s="2">
        <f>MIN('CP-ACS'!K22)</f>
        <v>10.494408999999999</v>
      </c>
      <c r="G29" s="2">
        <f>MIN('CP-DCM-ACO'!K22)</f>
        <v>11.409433</v>
      </c>
      <c r="H29" s="2">
        <f>MIN('MT-CP-DCM-ACO'!K22)</f>
        <v>3.1122030000000001</v>
      </c>
      <c r="I29" s="2">
        <f>MIN('CP-ACS'!L22)</f>
        <v>17.121483999999999</v>
      </c>
      <c r="J29" s="2">
        <f>MIN('CP-DCM-ACO'!L22)</f>
        <v>16.027349000000001</v>
      </c>
      <c r="K29" s="2">
        <f>MIN('MT-CP-DCM-ACO'!L22)</f>
        <v>2.0951719999999998</v>
      </c>
      <c r="L29" s="2">
        <f>MIN('CP-ACS'!M22)</f>
        <v>340.9</v>
      </c>
      <c r="M29" s="2">
        <f>MIN('CP-DCM-ACO'!M22)</f>
        <v>456.73</v>
      </c>
      <c r="N29" s="2">
        <f>MIN('MT-CP-DCM-ACO'!M22)</f>
        <v>136.53</v>
      </c>
    </row>
    <row r="30" spans="2:14" x14ac:dyDescent="0.3">
      <c r="B30" t="s">
        <v>27</v>
      </c>
      <c r="C30" s="2">
        <f>MAX('CP-ACS'!J23)</f>
        <v>42</v>
      </c>
      <c r="D30" s="2">
        <f>MAX('CP-DCM-ACO'!J23)</f>
        <v>87</v>
      </c>
      <c r="E30" s="2">
        <f>MAX('MT-CP-DCM-ACO'!J23)</f>
        <v>100</v>
      </c>
      <c r="F30" s="2">
        <f>MIN('CP-ACS'!K23)</f>
        <v>22.033151</v>
      </c>
      <c r="G30" s="2">
        <f>MIN('CP-DCM-ACO'!K23)</f>
        <v>28.430692000000001</v>
      </c>
      <c r="H30" s="2">
        <f>MIN('MT-CP-DCM-ACO'!K23)</f>
        <v>15.377003999999999</v>
      </c>
      <c r="I30" s="2">
        <f>MIN('CP-ACS'!L23)</f>
        <v>27.030949</v>
      </c>
      <c r="J30" s="2">
        <f>MIN('CP-DCM-ACO'!L23)</f>
        <v>26.023485000000001</v>
      </c>
      <c r="K30" s="2">
        <f>MIN('MT-CP-DCM-ACO'!L23)</f>
        <v>13.213615000000001</v>
      </c>
      <c r="L30" s="2">
        <f>MIN('CP-ACS'!M23)</f>
        <v>767.98</v>
      </c>
      <c r="M30" s="2">
        <f>MIN('CP-DCM-ACO'!M23)</f>
        <v>1367.91</v>
      </c>
      <c r="N30" s="2">
        <f>MIN('MT-CP-DCM-ACO'!M23)</f>
        <v>724.59</v>
      </c>
    </row>
    <row r="31" spans="2:14" x14ac:dyDescent="0.3">
      <c r="B31" t="s">
        <v>28</v>
      </c>
      <c r="C31" s="2">
        <f>MAX('CP-ACS'!J24)</f>
        <v>73</v>
      </c>
      <c r="D31" s="2">
        <f>MAX('CP-DCM-ACO'!J24)</f>
        <v>93</v>
      </c>
      <c r="E31" s="2">
        <f>MAX('MT-CP-DCM-ACO'!J24)</f>
        <v>100</v>
      </c>
      <c r="F31" s="2">
        <f>MIN('CP-ACS'!K24)</f>
        <v>13.788535</v>
      </c>
      <c r="G31" s="2">
        <f>MIN('CP-DCM-ACO'!K24)</f>
        <v>19.037217999999999</v>
      </c>
      <c r="H31" s="2">
        <f>MIN('MT-CP-DCM-ACO'!K24)</f>
        <v>4.0663780000000003</v>
      </c>
      <c r="I31" s="2">
        <f>MIN('CP-ACS'!L24)</f>
        <v>21.275739999999999</v>
      </c>
      <c r="J31" s="2">
        <f>MIN('CP-DCM-ACO'!L24)</f>
        <v>21.063065999999999</v>
      </c>
      <c r="K31" s="2">
        <f>MIN('MT-CP-DCM-ACO'!L24)</f>
        <v>4.2370210000000004</v>
      </c>
      <c r="L31" s="2">
        <f>MIN('CP-ACS'!M24)</f>
        <v>447.22</v>
      </c>
      <c r="M31" s="2">
        <f>MIN('CP-DCM-ACO'!M24)</f>
        <v>504.09</v>
      </c>
      <c r="N31" s="2">
        <f>MIN('MT-CP-DCM-ACO'!M24)</f>
        <v>195.34</v>
      </c>
    </row>
    <row r="32" spans="2:14" x14ac:dyDescent="0.3">
      <c r="B32" t="s">
        <v>29</v>
      </c>
      <c r="C32" s="2">
        <f>MAX('CP-ACS'!J25)</f>
        <v>80</v>
      </c>
      <c r="D32" s="2">
        <f>MAX('CP-DCM-ACO'!J25)</f>
        <v>97</v>
      </c>
      <c r="E32" s="2">
        <f>MAX('MT-CP-DCM-ACO'!J25)</f>
        <v>100</v>
      </c>
      <c r="F32" s="2">
        <f>MIN('CP-ACS'!K25)</f>
        <v>12.637886999999999</v>
      </c>
      <c r="G32" s="2">
        <f>MIN('CP-DCM-ACO'!K25)</f>
        <v>19.285105000000001</v>
      </c>
      <c r="H32" s="2">
        <f>MIN('MT-CP-DCM-ACO'!K25)</f>
        <v>3.2498640000000001</v>
      </c>
      <c r="I32" s="2">
        <f>MIN('CP-ACS'!L25)</f>
        <v>21.258557</v>
      </c>
      <c r="J32" s="2">
        <f>MIN('CP-DCM-ACO'!L25)</f>
        <v>21.518156999999999</v>
      </c>
      <c r="K32" s="2">
        <f>MIN('MT-CP-DCM-ACO'!L25)</f>
        <v>2.8586399999999998</v>
      </c>
      <c r="L32" s="2">
        <f>MIN('CP-ACS'!M25)</f>
        <v>392.81</v>
      </c>
      <c r="M32" s="2">
        <f>MIN('CP-DCM-ACO'!M25)</f>
        <v>416.02</v>
      </c>
      <c r="N32" s="2">
        <f>MIN('MT-CP-DCM-ACO'!M25)</f>
        <v>148.4</v>
      </c>
    </row>
    <row r="33" spans="2:14" x14ac:dyDescent="0.3">
      <c r="B33" t="s">
        <v>30</v>
      </c>
      <c r="C33" s="2">
        <f>MAX('CP-ACS'!J26)</f>
        <v>79</v>
      </c>
      <c r="D33" s="2">
        <f>MAX('CP-DCM-ACO'!J26)</f>
        <v>99</v>
      </c>
      <c r="E33" s="2">
        <f>MAX('MT-CP-DCM-ACO'!J26)</f>
        <v>100</v>
      </c>
      <c r="F33" s="2">
        <f>MIN('CP-ACS'!K26)</f>
        <v>14.245595</v>
      </c>
      <c r="G33" s="2">
        <f>MIN('CP-DCM-ACO'!K26)</f>
        <v>13.373692999999999</v>
      </c>
      <c r="H33" s="2">
        <f>MIN('MT-CP-DCM-ACO'!K26)</f>
        <v>4.5734950000000003</v>
      </c>
      <c r="I33" s="2">
        <f>MIN('CP-ACS'!L26)</f>
        <v>22.011188000000001</v>
      </c>
      <c r="J33" s="2">
        <f>MIN('CP-DCM-ACO'!L26)</f>
        <v>18.312735</v>
      </c>
      <c r="K33" s="2">
        <f>MIN('MT-CP-DCM-ACO'!L26)</f>
        <v>3.336274</v>
      </c>
      <c r="L33" s="2">
        <f>MIN('CP-ACS'!M26)</f>
        <v>455.43</v>
      </c>
      <c r="M33" s="2">
        <f>MIN('CP-DCM-ACO'!M26)</f>
        <v>553.54</v>
      </c>
      <c r="N33" s="2">
        <f>MIN('MT-CP-DCM-ACO'!M26)</f>
        <v>197.64</v>
      </c>
    </row>
    <row r="34" spans="2:14" x14ac:dyDescent="0.3">
      <c r="B34" t="s">
        <v>31</v>
      </c>
      <c r="C34" s="2">
        <f>MAX('CP-ACS'!J27)</f>
        <v>89</v>
      </c>
      <c r="D34" s="2">
        <f>MAX('CP-DCM-ACO'!J27)</f>
        <v>99</v>
      </c>
      <c r="E34" s="2">
        <f>MAX('MT-CP-DCM-ACO'!J27)</f>
        <v>100</v>
      </c>
      <c r="F34" s="2">
        <f>MIN('CP-ACS'!K27)</f>
        <v>10.727854000000001</v>
      </c>
      <c r="G34" s="2">
        <f>MIN('CP-DCM-ACO'!K27)</f>
        <v>12.353637000000001</v>
      </c>
      <c r="H34" s="2">
        <f>MIN('MT-CP-DCM-ACO'!K27)</f>
        <v>1.729824</v>
      </c>
      <c r="I34" s="2">
        <f>MIN('CP-ACS'!L27)</f>
        <v>19.237801999999999</v>
      </c>
      <c r="J34" s="2">
        <f>MIN('CP-DCM-ACO'!L27)</f>
        <v>17.090373</v>
      </c>
      <c r="K34" s="2">
        <f>MIN('MT-CP-DCM-ACO'!L27)</f>
        <v>1.199184</v>
      </c>
      <c r="L34" s="2">
        <f>MIN('CP-ACS'!M27)</f>
        <v>345.06</v>
      </c>
      <c r="M34" s="2">
        <f>MIN('CP-DCM-ACO'!M27)</f>
        <v>262.11</v>
      </c>
      <c r="N34" s="2">
        <f>MIN('MT-CP-DCM-ACO'!M27)</f>
        <v>76.760000000000005</v>
      </c>
    </row>
    <row r="35" spans="2:14" x14ac:dyDescent="0.3">
      <c r="B35" t="s">
        <v>32</v>
      </c>
      <c r="C35" s="2">
        <f>MAX('CP-ACS'!J28)</f>
        <v>86</v>
      </c>
      <c r="D35" s="2">
        <f>MAX('CP-DCM-ACO'!J28)</f>
        <v>100</v>
      </c>
      <c r="E35" s="2">
        <f>MAX('MT-CP-DCM-ACO'!J28)</f>
        <v>100</v>
      </c>
      <c r="F35" s="2">
        <f>MIN('CP-ACS'!K28)</f>
        <v>11.61355</v>
      </c>
      <c r="G35" s="2">
        <f>MIN('CP-DCM-ACO'!K28)</f>
        <v>11.282437</v>
      </c>
      <c r="H35" s="2">
        <f>MIN('MT-CP-DCM-ACO'!K28)</f>
        <v>3.1827290000000001</v>
      </c>
      <c r="I35" s="2">
        <f>MIN('CP-ACS'!L28)</f>
        <v>22.716239000000002</v>
      </c>
      <c r="J35" s="2">
        <f>MIN('CP-DCM-ACO'!L28)</f>
        <v>15.901840999999999</v>
      </c>
      <c r="K35" s="2">
        <f>MIN('MT-CP-DCM-ACO'!L28)</f>
        <v>2.4531679999999998</v>
      </c>
      <c r="L35" s="2">
        <f>MIN('CP-ACS'!M28)</f>
        <v>374.64</v>
      </c>
      <c r="M35" s="2">
        <f>MIN('CP-DCM-ACO'!M28)</f>
        <v>399.37</v>
      </c>
      <c r="N35" s="2">
        <f>MIN('MT-CP-DCM-ACO'!M28)</f>
        <v>149.91</v>
      </c>
    </row>
    <row r="36" spans="2:14" x14ac:dyDescent="0.3">
      <c r="B36" t="s">
        <v>33</v>
      </c>
      <c r="C36" s="2">
        <f>MAX('CP-ACS'!J29)</f>
        <v>33</v>
      </c>
      <c r="D36" s="2">
        <f>MAX('CP-DCM-ACO'!J29)</f>
        <v>87</v>
      </c>
      <c r="E36" s="2">
        <f>MAX('MT-CP-DCM-ACO'!J29)</f>
        <v>100</v>
      </c>
      <c r="F36" s="2">
        <f>MIN('CP-ACS'!K29)</f>
        <v>21.694077</v>
      </c>
      <c r="G36" s="2">
        <f>MIN('CP-DCM-ACO'!K29)</f>
        <v>20.495201000000002</v>
      </c>
      <c r="H36" s="2">
        <f>MIN('MT-CP-DCM-ACO'!K29)</f>
        <v>8.9871400000000001</v>
      </c>
      <c r="I36" s="2">
        <f>MIN('CP-ACS'!L29)</f>
        <v>23.046937</v>
      </c>
      <c r="J36" s="2">
        <f>MIN('CP-DCM-ACO'!L29)</f>
        <v>25.330704999999998</v>
      </c>
      <c r="K36" s="2">
        <f>MIN('MT-CP-DCM-ACO'!L29)</f>
        <v>9.259779</v>
      </c>
      <c r="L36" s="2">
        <f>MIN('CP-ACS'!M29)</f>
        <v>702.18</v>
      </c>
      <c r="M36" s="2">
        <f>MIN('CP-DCM-ACO'!M29)</f>
        <v>939.85</v>
      </c>
      <c r="N36" s="2">
        <f>MIN('MT-CP-DCM-ACO'!M29)</f>
        <v>427.8</v>
      </c>
    </row>
    <row r="37" spans="2:14" x14ac:dyDescent="0.3">
      <c r="B37" t="s">
        <v>34</v>
      </c>
      <c r="C37" s="2">
        <f>MAX('CP-ACS'!J30)</f>
        <v>44</v>
      </c>
      <c r="D37" s="2">
        <f>MAX('CP-DCM-ACO'!J30)</f>
        <v>82</v>
      </c>
      <c r="E37" s="2">
        <f>MAX('MT-CP-DCM-ACO'!J30)</f>
        <v>100</v>
      </c>
      <c r="F37" s="2">
        <f>MIN('CP-ACS'!K30)</f>
        <v>23.468062</v>
      </c>
      <c r="G37" s="2">
        <f>MIN('CP-DCM-ACO'!K30)</f>
        <v>21.212250000000001</v>
      </c>
      <c r="H37" s="2">
        <f>MIN('MT-CP-DCM-ACO'!K30)</f>
        <v>9.9598010000000006</v>
      </c>
      <c r="I37" s="2">
        <f>MIN('CP-ACS'!L30)</f>
        <v>33.387318999999998</v>
      </c>
      <c r="J37" s="2">
        <f>MIN('CP-DCM-ACO'!L30)</f>
        <v>25.764327999999999</v>
      </c>
      <c r="K37" s="2">
        <f>MIN('MT-CP-DCM-ACO'!L30)</f>
        <v>10.842198</v>
      </c>
      <c r="L37" s="2">
        <f>MIN('CP-ACS'!M30)</f>
        <v>823.48</v>
      </c>
      <c r="M37" s="2">
        <f>MIN('CP-DCM-ACO'!M30)</f>
        <v>993.72</v>
      </c>
      <c r="N37" s="2">
        <f>MIN('MT-CP-DCM-ACO'!M30)</f>
        <v>487.13</v>
      </c>
    </row>
    <row r="38" spans="2:14" x14ac:dyDescent="0.3">
      <c r="B38" t="s">
        <v>35</v>
      </c>
      <c r="C38" s="2">
        <f>MAX('CP-ACS'!J31)</f>
        <v>71</v>
      </c>
      <c r="D38" s="2">
        <f>MAX('CP-DCM-ACO'!J31)</f>
        <v>94</v>
      </c>
      <c r="E38" s="2">
        <f>MAX('MT-CP-DCM-ACO'!J31)</f>
        <v>100</v>
      </c>
      <c r="F38" s="2">
        <f>MIN('CP-ACS'!K31)</f>
        <v>14.189844000000001</v>
      </c>
      <c r="G38" s="2">
        <f>MIN('CP-DCM-ACO'!K31)</f>
        <v>12.574793</v>
      </c>
      <c r="H38" s="2">
        <f>MIN('MT-CP-DCM-ACO'!K31)</f>
        <v>4.9283029999999997</v>
      </c>
      <c r="I38" s="2">
        <f>MIN('CP-ACS'!L31)</f>
        <v>21.782627000000002</v>
      </c>
      <c r="J38" s="2">
        <f>MIN('CP-DCM-ACO'!L31)</f>
        <v>14.367188000000001</v>
      </c>
      <c r="K38" s="2">
        <f>MIN('MT-CP-DCM-ACO'!L31)</f>
        <v>4.7787189999999997</v>
      </c>
      <c r="L38" s="2">
        <f>MIN('CP-ACS'!M31)</f>
        <v>471.42</v>
      </c>
      <c r="M38" s="2">
        <f>MIN('CP-DCM-ACO'!M31)</f>
        <v>550.12</v>
      </c>
      <c r="N38" s="2">
        <f>MIN('MT-CP-DCM-ACO'!M31)</f>
        <v>221.72</v>
      </c>
    </row>
    <row r="39" spans="2:14" x14ac:dyDescent="0.3">
      <c r="B39" t="s">
        <v>36</v>
      </c>
      <c r="C39" s="2">
        <f>MAX('CP-ACS'!J32)</f>
        <v>73</v>
      </c>
      <c r="D39" s="2">
        <f>MAX('CP-DCM-ACO'!J32)</f>
        <v>97</v>
      </c>
      <c r="E39" s="2">
        <f>MAX('MT-CP-DCM-ACO'!J32)</f>
        <v>100</v>
      </c>
      <c r="F39" s="2">
        <f>MIN('CP-ACS'!K32)</f>
        <v>14.186731999999999</v>
      </c>
      <c r="G39" s="2">
        <f>MIN('CP-DCM-ACO'!K32)</f>
        <v>11.946204</v>
      </c>
      <c r="H39" s="2">
        <f>MIN('MT-CP-DCM-ACO'!K32)</f>
        <v>3.8090039999999998</v>
      </c>
      <c r="I39" s="2">
        <f>MIN('CP-ACS'!L32)</f>
        <v>20.309449999999998</v>
      </c>
      <c r="J39" s="2">
        <f>MIN('CP-DCM-ACO'!L32)</f>
        <v>17.801034000000001</v>
      </c>
      <c r="K39" s="2">
        <f>MIN('MT-CP-DCM-ACO'!L32)</f>
        <v>3.0318900000000002</v>
      </c>
      <c r="L39" s="2">
        <f>MIN('CP-ACS'!M32)</f>
        <v>467.11</v>
      </c>
      <c r="M39" s="2">
        <f>MIN('CP-DCM-ACO'!M32)</f>
        <v>522.05999999999995</v>
      </c>
      <c r="N39" s="2">
        <f>MIN('MT-CP-DCM-ACO'!M32)</f>
        <v>172.06</v>
      </c>
    </row>
    <row r="40" spans="2:14" x14ac:dyDescent="0.3">
      <c r="B40" t="s">
        <v>37</v>
      </c>
      <c r="C40" s="2">
        <f>MAX('CP-ACS'!J33)</f>
        <v>69</v>
      </c>
      <c r="D40" s="2">
        <f>MAX('CP-DCM-ACO'!J33)</f>
        <v>97</v>
      </c>
      <c r="E40" s="2">
        <f>MAX('MT-CP-DCM-ACO'!J33)</f>
        <v>100</v>
      </c>
      <c r="F40" s="2">
        <f>MIN('CP-ACS'!K33)</f>
        <v>15.680948000000001</v>
      </c>
      <c r="G40" s="2">
        <f>MIN('CP-DCM-ACO'!K33)</f>
        <v>14.672988</v>
      </c>
      <c r="H40" s="2">
        <f>MIN('MT-CP-DCM-ACO'!K33)</f>
        <v>4.7174690000000004</v>
      </c>
      <c r="I40" s="2">
        <f>MIN('CP-ACS'!L33)</f>
        <v>24.374891999999999</v>
      </c>
      <c r="J40" s="2">
        <f>MIN('CP-DCM-ACO'!L33)</f>
        <v>18.551866</v>
      </c>
      <c r="K40" s="2">
        <f>MIN('MT-CP-DCM-ACO'!L33)</f>
        <v>3.56223</v>
      </c>
      <c r="L40" s="2">
        <f>MIN('CP-ACS'!M33)</f>
        <v>554.74</v>
      </c>
      <c r="M40" s="2">
        <f>MIN('CP-DCM-ACO'!M33)</f>
        <v>679.64</v>
      </c>
      <c r="N40" s="2">
        <f>MIN('MT-CP-DCM-ACO'!M33)</f>
        <v>227.65</v>
      </c>
    </row>
    <row r="41" spans="2:14" x14ac:dyDescent="0.3">
      <c r="B41" t="s">
        <v>38</v>
      </c>
      <c r="C41" s="2">
        <f>MAX('CP-ACS'!J34)</f>
        <v>95</v>
      </c>
      <c r="D41" s="2">
        <f>MAX('CP-DCM-ACO'!J34)</f>
        <v>99</v>
      </c>
      <c r="E41" s="2">
        <f>MAX('MT-CP-DCM-ACO'!J34)</f>
        <v>100</v>
      </c>
      <c r="F41" s="2">
        <f>MIN('CP-ACS'!K34)</f>
        <v>6.1248209999999998</v>
      </c>
      <c r="G41" s="2">
        <f>MIN('CP-DCM-ACO'!K34)</f>
        <v>5.3739869999999996</v>
      </c>
      <c r="H41" s="2">
        <f>MIN('MT-CP-DCM-ACO'!K34)</f>
        <v>1.541655</v>
      </c>
      <c r="I41" s="2">
        <f>MIN('CP-ACS'!L34)</f>
        <v>13.516545000000001</v>
      </c>
      <c r="J41" s="2">
        <f>MIN('CP-DCM-ACO'!L34)</f>
        <v>6.714315</v>
      </c>
      <c r="K41" s="2">
        <f>MIN('MT-CP-DCM-ACO'!L34)</f>
        <v>1.1345860000000001</v>
      </c>
      <c r="L41" s="2">
        <f>MIN('CP-ACS'!M34)</f>
        <v>193.2</v>
      </c>
      <c r="M41" s="2">
        <f>MIN('CP-DCM-ACO'!M34)</f>
        <v>247.19</v>
      </c>
      <c r="N41" s="2">
        <f>MIN('MT-CP-DCM-ACO'!M34)</f>
        <v>69.92</v>
      </c>
    </row>
    <row r="42" spans="2:14" x14ac:dyDescent="0.3">
      <c r="B42" t="s">
        <v>39</v>
      </c>
      <c r="C42" s="2">
        <f>MAX('CP-ACS'!J35)</f>
        <v>79</v>
      </c>
      <c r="D42" s="2">
        <f>MAX('CP-DCM-ACO'!J35)</f>
        <v>99</v>
      </c>
      <c r="E42" s="2">
        <f>MAX('MT-CP-DCM-ACO'!J35)</f>
        <v>99</v>
      </c>
      <c r="F42" s="2">
        <f>MIN('CP-ACS'!K35)</f>
        <v>10.436512</v>
      </c>
      <c r="G42" s="2">
        <f>MIN('CP-DCM-ACO'!K35)</f>
        <v>8.0089629999999996</v>
      </c>
      <c r="H42" s="2">
        <f>MIN('MT-CP-DCM-ACO'!K35)</f>
        <v>2.4708809999999999</v>
      </c>
      <c r="I42" s="2">
        <f>MIN('CP-ACS'!L35)</f>
        <v>13.103006000000001</v>
      </c>
      <c r="J42" s="2">
        <f>MIN('CP-DCM-ACO'!L35)</f>
        <v>8.4541590000000006</v>
      </c>
      <c r="K42" s="2">
        <f>MIN('MT-CP-DCM-ACO'!L35)</f>
        <v>1.964744</v>
      </c>
      <c r="L42" s="2">
        <f>MIN('CP-ACS'!M35)</f>
        <v>327.25</v>
      </c>
      <c r="M42" s="2">
        <f>MIN('CP-DCM-ACO'!M35)</f>
        <v>356.46</v>
      </c>
      <c r="N42" s="2">
        <f>MIN('MT-CP-DCM-ACO'!M35)</f>
        <v>113.28</v>
      </c>
    </row>
    <row r="43" spans="2:14" x14ac:dyDescent="0.3">
      <c r="B43" t="s">
        <v>40</v>
      </c>
      <c r="C43" s="2">
        <f>MAX('CP-ACS'!J36)</f>
        <v>34</v>
      </c>
      <c r="D43" s="2">
        <f>MAX('CP-DCM-ACO'!J36)</f>
        <v>76</v>
      </c>
      <c r="E43" s="2">
        <f>MAX('MT-CP-DCM-ACO'!J36)</f>
        <v>99</v>
      </c>
      <c r="F43" s="2">
        <f>MIN('CP-ACS'!K36)</f>
        <v>15.881072</v>
      </c>
      <c r="G43" s="2">
        <f>MIN('CP-DCM-ACO'!K36)</f>
        <v>22.619422</v>
      </c>
      <c r="H43" s="2">
        <f>MIN('MT-CP-DCM-ACO'!K36)</f>
        <v>13.059825999999999</v>
      </c>
      <c r="I43" s="2">
        <f>MIN('CP-ACS'!L36)</f>
        <v>20.305793000000001</v>
      </c>
      <c r="J43" s="2">
        <f>MIN('CP-DCM-ACO'!L36)</f>
        <v>23.065145000000001</v>
      </c>
      <c r="K43" s="2">
        <f>MIN('MT-CP-DCM-ACO'!L36)</f>
        <v>14.786274000000001</v>
      </c>
      <c r="L43" s="2">
        <f>MIN('CP-ACS'!M36)</f>
        <v>506.97</v>
      </c>
      <c r="M43" s="2">
        <f>MIN('CP-DCM-ACO'!M36)</f>
        <v>1188.21</v>
      </c>
      <c r="N43" s="2">
        <f>MIN('MT-CP-DCM-ACO'!M36)</f>
        <v>620.66</v>
      </c>
    </row>
    <row r="44" spans="2:14" x14ac:dyDescent="0.3">
      <c r="B44" t="s">
        <v>41</v>
      </c>
      <c r="C44" s="2">
        <f>MAX('CP-ACS'!J37)</f>
        <v>95</v>
      </c>
      <c r="D44" s="2">
        <f>MAX('CP-DCM-ACO'!J37)</f>
        <v>100</v>
      </c>
      <c r="E44" s="2">
        <f>MAX('MT-CP-DCM-ACO'!J37)</f>
        <v>100</v>
      </c>
      <c r="F44" s="2">
        <f>MIN('CP-ACS'!K37)</f>
        <v>7.2033940000000003</v>
      </c>
      <c r="G44" s="2">
        <f>MIN('CP-DCM-ACO'!K37)</f>
        <v>5.1472790000000002</v>
      </c>
      <c r="H44" s="2">
        <f>MIN('MT-CP-DCM-ACO'!K37)</f>
        <v>2.0174859999999999</v>
      </c>
      <c r="I44" s="2">
        <f>MIN('CP-ACS'!L37)</f>
        <v>15.932862999999999</v>
      </c>
      <c r="J44" s="2">
        <f>MIN('CP-DCM-ACO'!L37)</f>
        <v>7.2938520000000002</v>
      </c>
      <c r="K44" s="2">
        <f>MIN('MT-CP-DCM-ACO'!L37)</f>
        <v>1.2226980000000001</v>
      </c>
      <c r="L44" s="2">
        <f>MIN('CP-ACS'!M37)</f>
        <v>275.36</v>
      </c>
      <c r="M44" s="2">
        <f>MIN('CP-DCM-ACO'!M37)</f>
        <v>259.45</v>
      </c>
      <c r="N44" s="2">
        <f>MIN('MT-CP-DCM-ACO'!M37)</f>
        <v>92.15</v>
      </c>
    </row>
    <row r="45" spans="2:14" x14ac:dyDescent="0.3">
      <c r="B45" t="s">
        <v>42</v>
      </c>
      <c r="C45" s="2">
        <f>MAX('CP-ACS'!J38)</f>
        <v>89</v>
      </c>
      <c r="D45" s="2">
        <f>MAX('CP-DCM-ACO'!J38)</f>
        <v>100</v>
      </c>
      <c r="E45" s="2">
        <f>MAX('MT-CP-DCM-ACO'!J38)</f>
        <v>100</v>
      </c>
      <c r="F45" s="2">
        <f>MIN('CP-ACS'!K38)</f>
        <v>5.7632649999999996</v>
      </c>
      <c r="G45" s="2">
        <f>MIN('CP-DCM-ACO'!K38)</f>
        <v>5.2127559999999997</v>
      </c>
      <c r="H45" s="2">
        <f>MIN('MT-CP-DCM-ACO'!K38)</f>
        <v>2.2839520000000002</v>
      </c>
      <c r="I45" s="2">
        <f>MIN('CP-ACS'!L38)</f>
        <v>9.4403260000000007</v>
      </c>
      <c r="J45" s="2">
        <f>MIN('CP-DCM-ACO'!L38)</f>
        <v>8.6047220000000006</v>
      </c>
      <c r="K45" s="2">
        <f>MIN('MT-CP-DCM-ACO'!L38)</f>
        <v>1.806724</v>
      </c>
      <c r="L45" s="2">
        <f>MIN('CP-ACS'!M38)</f>
        <v>228.81</v>
      </c>
      <c r="M45" s="2">
        <f>MIN('CP-DCM-ACO'!M38)</f>
        <v>279.42</v>
      </c>
      <c r="N45" s="2">
        <f>MIN('MT-CP-DCM-ACO'!M38)</f>
        <v>110.32</v>
      </c>
    </row>
    <row r="46" spans="2:14" x14ac:dyDescent="0.3">
      <c r="B46" t="s">
        <v>43</v>
      </c>
      <c r="C46" s="2">
        <f>MAX('CP-ACS'!J39)</f>
        <v>94</v>
      </c>
      <c r="D46" s="2">
        <f>MAX('CP-DCM-ACO'!J39)</f>
        <v>100</v>
      </c>
      <c r="E46" s="2">
        <f>MAX('MT-CP-DCM-ACO'!J39)</f>
        <v>100</v>
      </c>
      <c r="F46" s="2">
        <f>MIN('CP-ACS'!K39)</f>
        <v>5.8907470000000002</v>
      </c>
      <c r="G46" s="2">
        <f>MIN('CP-DCM-ACO'!K39)</f>
        <v>3.8243740000000002</v>
      </c>
      <c r="H46" s="2">
        <f>MIN('MT-CP-DCM-ACO'!K39)</f>
        <v>1.847245</v>
      </c>
      <c r="I46" s="2">
        <f>MIN('CP-ACS'!L39)</f>
        <v>11.834349</v>
      </c>
      <c r="J46" s="2">
        <f>MIN('CP-DCM-ACO'!L39)</f>
        <v>4.6918110000000004</v>
      </c>
      <c r="K46" s="2">
        <f>MIN('MT-CP-DCM-ACO'!L39)</f>
        <v>1.284478</v>
      </c>
      <c r="L46" s="2">
        <f>MIN('CP-ACS'!M39)</f>
        <v>184.02</v>
      </c>
      <c r="M46" s="2">
        <f>MIN('CP-DCM-ACO'!M39)</f>
        <v>190.26</v>
      </c>
      <c r="N46" s="2">
        <f>MIN('MT-CP-DCM-ACO'!M39)</f>
        <v>83.12</v>
      </c>
    </row>
    <row r="47" spans="2:14" x14ac:dyDescent="0.3">
      <c r="B47" t="s">
        <v>44</v>
      </c>
      <c r="C47" s="2">
        <f>MAX('CP-ACS'!J40)</f>
        <v>71</v>
      </c>
      <c r="D47" s="2">
        <f>MAX('CP-DCM-ACO'!J40)</f>
        <v>98</v>
      </c>
      <c r="E47" s="2">
        <f>MAX('MT-CP-DCM-ACO'!J40)</f>
        <v>100</v>
      </c>
      <c r="F47" s="2">
        <f>MIN('CP-ACS'!K40)</f>
        <v>11.696819</v>
      </c>
      <c r="G47" s="2">
        <f>MIN('CP-DCM-ACO'!K40)</f>
        <v>11.881137000000001</v>
      </c>
      <c r="H47" s="2">
        <f>MIN('MT-CP-DCM-ACO'!K40)</f>
        <v>3.400658</v>
      </c>
      <c r="I47" s="2">
        <f>MIN('CP-ACS'!L40)</f>
        <v>19.195988</v>
      </c>
      <c r="J47" s="2">
        <f>MIN('CP-DCM-ACO'!L40)</f>
        <v>16.129469</v>
      </c>
      <c r="K47" s="2">
        <f>MIN('MT-CP-DCM-ACO'!L40)</f>
        <v>3.380706</v>
      </c>
      <c r="L47" s="2">
        <f>MIN('CP-ACS'!M40)</f>
        <v>365.3</v>
      </c>
      <c r="M47" s="2">
        <f>MIN('CP-DCM-ACO'!M40)</f>
        <v>606.54999999999995</v>
      </c>
      <c r="N47" s="2">
        <f>MIN('MT-CP-DCM-ACO'!M40)</f>
        <v>156.83000000000001</v>
      </c>
    </row>
    <row r="48" spans="2:14" x14ac:dyDescent="0.3">
      <c r="B48" t="s">
        <v>45</v>
      </c>
      <c r="C48" s="2">
        <f>MAX('CP-ACS'!J41)</f>
        <v>73</v>
      </c>
      <c r="D48" s="2">
        <f>MAX('CP-DCM-ACO'!J41)</f>
        <v>96</v>
      </c>
      <c r="E48" s="2">
        <f>MAX('MT-CP-DCM-ACO'!J41)</f>
        <v>100</v>
      </c>
      <c r="F48" s="2">
        <f>MIN('CP-ACS'!K41)</f>
        <v>11.808764999999999</v>
      </c>
      <c r="G48" s="2">
        <f>MIN('CP-DCM-ACO'!K41)</f>
        <v>8.5691279999999992</v>
      </c>
      <c r="H48" s="2">
        <f>MIN('MT-CP-DCM-ACO'!K41)</f>
        <v>3.0432610000000002</v>
      </c>
      <c r="I48" s="2">
        <f>MIN('CP-ACS'!L41)</f>
        <v>19.824708999999999</v>
      </c>
      <c r="J48" s="2">
        <f>MIN('CP-DCM-ACO'!L41)</f>
        <v>12.013707</v>
      </c>
      <c r="K48" s="2">
        <f>MIN('MT-CP-DCM-ACO'!L41)</f>
        <v>2.9031609999999999</v>
      </c>
      <c r="L48" s="2">
        <f>MIN('CP-ACS'!M41)</f>
        <v>380.75</v>
      </c>
      <c r="M48" s="2">
        <f>MIN('CP-DCM-ACO'!M41)</f>
        <v>447.61</v>
      </c>
      <c r="N48" s="2">
        <f>MIN('MT-CP-DCM-ACO'!M41)</f>
        <v>143.87</v>
      </c>
    </row>
    <row r="49" spans="2:14" x14ac:dyDescent="0.3">
      <c r="B49" t="s">
        <v>46</v>
      </c>
      <c r="C49" s="2">
        <f>MAX('CP-ACS'!J42)</f>
        <v>65</v>
      </c>
      <c r="D49" s="2">
        <f>MAX('CP-DCM-ACO'!J42)</f>
        <v>96</v>
      </c>
      <c r="E49" s="2">
        <f>MAX('MT-CP-DCM-ACO'!J42)</f>
        <v>100</v>
      </c>
      <c r="F49" s="2">
        <f>MIN('CP-ACS'!K42)</f>
        <v>18.090098000000001</v>
      </c>
      <c r="G49" s="2">
        <f>MIN('CP-DCM-ACO'!K42)</f>
        <v>13.104103</v>
      </c>
      <c r="H49" s="2">
        <f>MIN('MT-CP-DCM-ACO'!K42)</f>
        <v>5.8384710000000002</v>
      </c>
      <c r="I49" s="2">
        <f>MIN('CP-ACS'!L42)</f>
        <v>25.882778999999999</v>
      </c>
      <c r="J49" s="2">
        <f>MIN('CP-DCM-ACO'!L42)</f>
        <v>15.298568</v>
      </c>
      <c r="K49" s="2">
        <f>MIN('MT-CP-DCM-ACO'!L42)</f>
        <v>4.1521290000000004</v>
      </c>
      <c r="L49" s="2">
        <f>MIN('CP-ACS'!M42)</f>
        <v>605.41999999999996</v>
      </c>
      <c r="M49" s="2">
        <f>MIN('CP-DCM-ACO'!M42)</f>
        <v>668.62</v>
      </c>
      <c r="N49" s="2">
        <f>MIN('MT-CP-DCM-ACO'!M42)</f>
        <v>268.45999999999998</v>
      </c>
    </row>
    <row r="50" spans="2:14" x14ac:dyDescent="0.3">
      <c r="B50" t="s">
        <v>47</v>
      </c>
      <c r="C50" s="2">
        <f>MAX('CP-ACS'!J43)</f>
        <v>69</v>
      </c>
      <c r="D50" s="2">
        <f>MAX('CP-DCM-ACO'!J43)</f>
        <v>95</v>
      </c>
      <c r="E50" s="2">
        <f>MAX('MT-CP-DCM-ACO'!J43)</f>
        <v>100</v>
      </c>
      <c r="F50" s="2">
        <f>MIN('CP-ACS'!K43)</f>
        <v>15.829314999999999</v>
      </c>
      <c r="G50" s="2">
        <f>MIN('CP-DCM-ACO'!K43)</f>
        <v>11.691898</v>
      </c>
      <c r="H50" s="2">
        <f>MIN('MT-CP-DCM-ACO'!K43)</f>
        <v>4.6674480000000003</v>
      </c>
      <c r="I50" s="2">
        <f>MIN('CP-ACS'!L43)</f>
        <v>25.067218</v>
      </c>
      <c r="J50" s="2">
        <f>MIN('CP-DCM-ACO'!L43)</f>
        <v>12.715598</v>
      </c>
      <c r="K50" s="2">
        <f>MIN('MT-CP-DCM-ACO'!L43)</f>
        <v>4.5900670000000003</v>
      </c>
      <c r="L50" s="2">
        <f>MIN('CP-ACS'!M43)</f>
        <v>620.92999999999995</v>
      </c>
      <c r="M50" s="2">
        <f>MIN('CP-DCM-ACO'!M43)</f>
        <v>672.11</v>
      </c>
      <c r="N50" s="2">
        <f>MIN('MT-CP-DCM-ACO'!M43)</f>
        <v>231.32</v>
      </c>
    </row>
    <row r="51" spans="2:14" x14ac:dyDescent="0.3">
      <c r="B51" t="s">
        <v>48</v>
      </c>
      <c r="C51" s="2">
        <f>MAX('CP-ACS'!J44)</f>
        <v>86</v>
      </c>
      <c r="D51" s="2">
        <f>MAX('CP-DCM-ACO'!J44)</f>
        <v>100</v>
      </c>
      <c r="E51" s="2">
        <f>MAX('MT-CP-DCM-ACO'!J44)</f>
        <v>100</v>
      </c>
      <c r="F51" s="2">
        <f>MIN('CP-ACS'!K44)</f>
        <v>10.367687999999999</v>
      </c>
      <c r="G51" s="2">
        <f>MIN('CP-DCM-ACO'!K44)</f>
        <v>6.1851060000000002</v>
      </c>
      <c r="H51" s="2">
        <f>MIN('MT-CP-DCM-ACO'!K44)</f>
        <v>2.5966230000000001</v>
      </c>
      <c r="I51" s="2">
        <f>MIN('CP-ACS'!L44)</f>
        <v>18.868814</v>
      </c>
      <c r="J51" s="2">
        <f>MIN('CP-DCM-ACO'!L44)</f>
        <v>6.5115150000000002</v>
      </c>
      <c r="K51" s="2">
        <f>MIN('MT-CP-DCM-ACO'!L44)</f>
        <v>1.7664230000000001</v>
      </c>
      <c r="L51" s="2">
        <f>MIN('CP-ACS'!M44)</f>
        <v>380.02</v>
      </c>
      <c r="M51" s="2">
        <f>MIN('CP-DCM-ACO'!M44)</f>
        <v>333.14</v>
      </c>
      <c r="N51" s="2">
        <f>MIN('MT-CP-DCM-ACO'!M44)</f>
        <v>117.25</v>
      </c>
    </row>
    <row r="52" spans="2:14" x14ac:dyDescent="0.3">
      <c r="B52" t="s">
        <v>49</v>
      </c>
      <c r="C52" s="2">
        <f>MAX('CP-ACS'!J45)</f>
        <v>71</v>
      </c>
      <c r="D52" s="2">
        <f>MAX('CP-DCM-ACO'!J45)</f>
        <v>94</v>
      </c>
      <c r="E52" s="2">
        <f>MAX('MT-CP-DCM-ACO'!J45)</f>
        <v>100</v>
      </c>
      <c r="F52" s="2">
        <f>MIN('CP-ACS'!K45)</f>
        <v>14.926876999999999</v>
      </c>
      <c r="G52" s="2">
        <f>MIN('CP-DCM-ACO'!K45)</f>
        <v>11.91717</v>
      </c>
      <c r="H52" s="2">
        <f>MIN('MT-CP-DCM-ACO'!K45)</f>
        <v>4.8345669999999998</v>
      </c>
      <c r="I52" s="2">
        <f>MIN('CP-ACS'!L45)</f>
        <v>21.443124000000001</v>
      </c>
      <c r="J52" s="2">
        <f>MIN('CP-DCM-ACO'!L45)</f>
        <v>13.273501</v>
      </c>
      <c r="K52" s="2">
        <f>MIN('MT-CP-DCM-ACO'!L45)</f>
        <v>3.644498</v>
      </c>
      <c r="L52" s="2">
        <f>MIN('CP-ACS'!M45)</f>
        <v>515.99</v>
      </c>
      <c r="M52" s="2">
        <f>MIN('CP-DCM-ACO'!M45)</f>
        <v>561.39</v>
      </c>
      <c r="N52" s="2">
        <f>MIN('MT-CP-DCM-ACO'!M45)</f>
        <v>229.31</v>
      </c>
    </row>
    <row r="53" spans="2:14" x14ac:dyDescent="0.3">
      <c r="B53" t="s">
        <v>50</v>
      </c>
      <c r="C53" s="2">
        <f>MAX('CP-ACS'!J46)</f>
        <v>82</v>
      </c>
      <c r="D53" s="2">
        <f>MAX('CP-DCM-ACO'!J46)</f>
        <v>99</v>
      </c>
      <c r="E53" s="2">
        <f>MAX('MT-CP-DCM-ACO'!J46)</f>
        <v>100</v>
      </c>
      <c r="F53" s="2">
        <f>MIN('CP-ACS'!K46)</f>
        <v>6.4067689999999997</v>
      </c>
      <c r="G53" s="2">
        <f>MIN('CP-DCM-ACO'!K46)</f>
        <v>6.0831929999999996</v>
      </c>
      <c r="H53" s="2">
        <f>MIN('MT-CP-DCM-ACO'!K46)</f>
        <v>2.5278070000000001</v>
      </c>
      <c r="I53" s="2">
        <f>MIN('CP-ACS'!L46)</f>
        <v>9.9276710000000001</v>
      </c>
      <c r="J53" s="2">
        <f>MIN('CP-DCM-ACO'!L46)</f>
        <v>7.5174079999999996</v>
      </c>
      <c r="K53" s="2">
        <f>MIN('MT-CP-DCM-ACO'!L46)</f>
        <v>2.0008189999999999</v>
      </c>
      <c r="L53" s="2">
        <f>MIN('CP-ACS'!M46)</f>
        <v>258.83999999999997</v>
      </c>
      <c r="M53" s="2">
        <f>MIN('CP-DCM-ACO'!M46)</f>
        <v>362.66</v>
      </c>
      <c r="N53" s="2">
        <f>MIN('MT-CP-DCM-ACO'!M46)</f>
        <v>125.85</v>
      </c>
    </row>
    <row r="54" spans="2:14" x14ac:dyDescent="0.3">
      <c r="B54" t="s">
        <v>51</v>
      </c>
      <c r="C54" s="2">
        <f>MAX('CP-ACS'!J47)</f>
        <v>29</v>
      </c>
      <c r="D54" s="2">
        <f>MAX('CP-DCM-ACO'!J47)</f>
        <v>66</v>
      </c>
      <c r="E54" s="2">
        <f>MAX('MT-CP-DCM-ACO'!J47)</f>
        <v>94</v>
      </c>
      <c r="F54" s="2">
        <f>MIN('CP-ACS'!K47)</f>
        <v>18.844351</v>
      </c>
      <c r="G54" s="2">
        <f>MIN('CP-DCM-ACO'!K47)</f>
        <v>31.351006000000002</v>
      </c>
      <c r="H54" s="2">
        <f>MIN('MT-CP-DCM-ACO'!K47)</f>
        <v>16.298977000000001</v>
      </c>
      <c r="I54" s="2">
        <f>MIN('CP-ACS'!L47)</f>
        <v>22.202805999999999</v>
      </c>
      <c r="J54" s="2">
        <f>MIN('CP-DCM-ACO'!L47)</f>
        <v>31.664100000000001</v>
      </c>
      <c r="K54" s="2">
        <f>MIN('MT-CP-DCM-ACO'!L47)</f>
        <v>18.444782</v>
      </c>
      <c r="L54" s="2">
        <f>MIN('CP-ACS'!M47)</f>
        <v>613.9</v>
      </c>
      <c r="M54" s="2">
        <f>MIN('CP-DCM-ACO'!M47)</f>
        <v>1742.36</v>
      </c>
      <c r="N54" s="2">
        <f>MIN('MT-CP-DCM-ACO'!M47)</f>
        <v>752.19</v>
      </c>
    </row>
    <row r="55" spans="2:14" x14ac:dyDescent="0.3">
      <c r="B55" t="s">
        <v>52</v>
      </c>
      <c r="C55" s="2">
        <f>MAX('CP-ACS'!J48)</f>
        <v>84</v>
      </c>
      <c r="D55" s="2">
        <f>MAX('CP-DCM-ACO'!J48)</f>
        <v>100</v>
      </c>
      <c r="E55" s="2">
        <f>MAX('MT-CP-DCM-ACO'!J48)</f>
        <v>100</v>
      </c>
      <c r="F55" s="2">
        <f>MIN('CP-ACS'!K48)</f>
        <v>7.4034190000000004</v>
      </c>
      <c r="G55" s="2">
        <f>MIN('CP-DCM-ACO'!K48)</f>
        <v>7.1238789999999996</v>
      </c>
      <c r="H55" s="2">
        <f>MIN('MT-CP-DCM-ACO'!K48)</f>
        <v>3.3397160000000001</v>
      </c>
      <c r="I55" s="2">
        <f>MIN('CP-ACS'!L48)</f>
        <v>12.248431</v>
      </c>
      <c r="J55" s="2">
        <f>MIN('CP-DCM-ACO'!L48)</f>
        <v>8.9817199999999993</v>
      </c>
      <c r="K55" s="2">
        <f>MIN('MT-CP-DCM-ACO'!L48)</f>
        <v>2.257371</v>
      </c>
      <c r="L55" s="2">
        <f>MIN('CP-ACS'!M48)</f>
        <v>251.55</v>
      </c>
      <c r="M55" s="2">
        <f>MIN('CP-DCM-ACO'!M48)</f>
        <v>385.52</v>
      </c>
      <c r="N55" s="2">
        <f>MIN('MT-CP-DCM-ACO'!M48)</f>
        <v>151.41</v>
      </c>
    </row>
    <row r="56" spans="2:14" x14ac:dyDescent="0.3">
      <c r="B56" t="s">
        <v>53</v>
      </c>
      <c r="C56" s="2">
        <f>MAX('CP-ACS'!J49)</f>
        <v>76</v>
      </c>
      <c r="D56" s="2">
        <f>MAX('CP-DCM-ACO'!J49)</f>
        <v>96</v>
      </c>
      <c r="E56" s="2">
        <f>MAX('MT-CP-DCM-ACO'!J49)</f>
        <v>100</v>
      </c>
      <c r="F56" s="2">
        <f>MIN('CP-ACS'!K49)</f>
        <v>7.7510490000000001</v>
      </c>
      <c r="G56" s="2">
        <f>MIN('CP-DCM-ACO'!K49)</f>
        <v>9.0146789999999992</v>
      </c>
      <c r="H56" s="2">
        <f>MIN('MT-CP-DCM-ACO'!K49)</f>
        <v>3.2676050000000001</v>
      </c>
      <c r="I56" s="2">
        <f>MIN('CP-ACS'!L49)</f>
        <v>15.031805</v>
      </c>
      <c r="J56" s="2">
        <f>MIN('CP-DCM-ACO'!L49)</f>
        <v>14.139561</v>
      </c>
      <c r="K56" s="2">
        <f>MIN('MT-CP-DCM-ACO'!L49)</f>
        <v>2.9477099999999998</v>
      </c>
      <c r="L56" s="2">
        <f>MIN('CP-ACS'!M49)</f>
        <v>240.43</v>
      </c>
      <c r="M56" s="2">
        <f>MIN('CP-DCM-ACO'!M49)</f>
        <v>478.05</v>
      </c>
      <c r="N56" s="2">
        <f>MIN('MT-CP-DCM-ACO'!M49)</f>
        <v>144.88</v>
      </c>
    </row>
    <row r="57" spans="2:14" x14ac:dyDescent="0.3">
      <c r="B57" t="s">
        <v>54</v>
      </c>
      <c r="C57" s="2">
        <f>MAX('CP-ACS'!J50)</f>
        <v>86</v>
      </c>
      <c r="D57" s="2">
        <f>MAX('CP-DCM-ACO'!J50)</f>
        <v>100</v>
      </c>
      <c r="E57" s="2">
        <f>MAX('MT-CP-DCM-ACO'!J50)</f>
        <v>100</v>
      </c>
      <c r="F57" s="2">
        <f>MIN('CP-ACS'!K50)</f>
        <v>10.666027</v>
      </c>
      <c r="G57" s="2">
        <f>MIN('CP-DCM-ACO'!K50)</f>
        <v>8.6760400000000004</v>
      </c>
      <c r="H57" s="2">
        <f>MIN('MT-CP-DCM-ACO'!K50)</f>
        <v>3.4554879999999999</v>
      </c>
      <c r="I57" s="2">
        <f>MIN('CP-ACS'!L50)</f>
        <v>17.229358000000001</v>
      </c>
      <c r="J57" s="2">
        <f>MIN('CP-DCM-ACO'!L50)</f>
        <v>10.877795000000001</v>
      </c>
      <c r="K57" s="2">
        <f>MIN('MT-CP-DCM-ACO'!L50)</f>
        <v>2.7065169999999998</v>
      </c>
      <c r="L57" s="2">
        <f>MIN('CP-ACS'!M50)</f>
        <v>391.24</v>
      </c>
      <c r="M57" s="2">
        <f>MIN('CP-DCM-ACO'!M50)</f>
        <v>435.64</v>
      </c>
      <c r="N57" s="2">
        <f>MIN('MT-CP-DCM-ACO'!M50)</f>
        <v>155.44</v>
      </c>
    </row>
    <row r="58" spans="2:14" x14ac:dyDescent="0.3">
      <c r="B58" t="s">
        <v>55</v>
      </c>
      <c r="C58" s="2">
        <f>MAX('CP-ACS'!J51)</f>
        <v>65</v>
      </c>
      <c r="D58" s="2">
        <f>MAX('CP-DCM-ACO'!J51)</f>
        <v>91</v>
      </c>
      <c r="E58" s="2">
        <f>MAX('MT-CP-DCM-ACO'!J51)</f>
        <v>100</v>
      </c>
      <c r="F58" s="2">
        <f>MIN('CP-ACS'!K51)</f>
        <v>11.779161</v>
      </c>
      <c r="G58" s="2">
        <f>MIN('CP-DCM-ACO'!K51)</f>
        <v>13.959187</v>
      </c>
      <c r="H58" s="2">
        <f>MIN('MT-CP-DCM-ACO'!K51)</f>
        <v>3.2084570000000001</v>
      </c>
      <c r="I58" s="2">
        <f>MIN('CP-ACS'!L51)</f>
        <v>19.135251</v>
      </c>
      <c r="J58" s="2">
        <f>MIN('CP-DCM-ACO'!L51)</f>
        <v>24.770579000000001</v>
      </c>
      <c r="K58" s="2">
        <f>MIN('MT-CP-DCM-ACO'!L51)</f>
        <v>3.1270180000000001</v>
      </c>
      <c r="L58" s="2">
        <f>MIN('CP-ACS'!M51)</f>
        <v>454.4</v>
      </c>
      <c r="M58" s="2">
        <f>MIN('CP-DCM-ACO'!M51)</f>
        <v>627.07000000000005</v>
      </c>
      <c r="N58" s="2">
        <f>MIN('MT-CP-DCM-ACO'!M51)</f>
        <v>157.85</v>
      </c>
    </row>
    <row r="59" spans="2:14" x14ac:dyDescent="0.3">
      <c r="B59" t="s">
        <v>56</v>
      </c>
      <c r="C59" s="2">
        <f>MAX('CP-ACS'!J52)</f>
        <v>79</v>
      </c>
      <c r="D59" s="2">
        <f>MAX('CP-DCM-ACO'!J52)</f>
        <v>99</v>
      </c>
      <c r="E59" s="2">
        <f>MAX('MT-CP-DCM-ACO'!J52)</f>
        <v>100</v>
      </c>
      <c r="F59" s="2">
        <f>MIN('CP-ACS'!K52)</f>
        <v>11.443623000000001</v>
      </c>
      <c r="G59" s="2">
        <f>MIN('CP-DCM-ACO'!K52)</f>
        <v>9.2319139999999997</v>
      </c>
      <c r="H59" s="2">
        <f>MIN('MT-CP-DCM-ACO'!K52)</f>
        <v>2.9634420000000001</v>
      </c>
      <c r="I59" s="2">
        <f>MIN('CP-ACS'!L52)</f>
        <v>16.505122</v>
      </c>
      <c r="J59" s="2">
        <f>MIN('CP-DCM-ACO'!L52)</f>
        <v>12.581968</v>
      </c>
      <c r="K59" s="2">
        <f>MIN('MT-CP-DCM-ACO'!L52)</f>
        <v>2.4535140000000002</v>
      </c>
      <c r="L59" s="2">
        <f>MIN('CP-ACS'!M52)</f>
        <v>363.01</v>
      </c>
      <c r="M59" s="2">
        <f>MIN('CP-DCM-ACO'!M52)</f>
        <v>408.08</v>
      </c>
      <c r="N59" s="2">
        <f>MIN('MT-CP-DCM-ACO'!M52)</f>
        <v>133.30000000000001</v>
      </c>
    </row>
    <row r="60" spans="2:14" x14ac:dyDescent="0.3">
      <c r="B60" t="s">
        <v>57</v>
      </c>
      <c r="C60" s="2">
        <f>MAX('CP-ACS'!J53)</f>
        <v>92</v>
      </c>
      <c r="D60" s="2">
        <f>MAX('CP-DCM-ACO'!J53)</f>
        <v>99</v>
      </c>
      <c r="E60" s="2">
        <f>MAX('MT-CP-DCM-ACO'!J53)</f>
        <v>100</v>
      </c>
      <c r="F60" s="2">
        <f>MIN('CP-ACS'!K53)</f>
        <v>8.2383109999999995</v>
      </c>
      <c r="G60" s="2">
        <f>MIN('CP-DCM-ACO'!K53)</f>
        <v>8.5663529999999994</v>
      </c>
      <c r="H60" s="2">
        <f>MIN('MT-CP-DCM-ACO'!K53)</f>
        <v>2.3352560000000002</v>
      </c>
      <c r="I60" s="2">
        <f>MIN('CP-ACS'!L53)</f>
        <v>16.677617000000001</v>
      </c>
      <c r="J60" s="2">
        <f>MIN('CP-DCM-ACO'!L53)</f>
        <v>12.563938</v>
      </c>
      <c r="K60" s="2">
        <f>MIN('MT-CP-DCM-ACO'!L53)</f>
        <v>1.750613</v>
      </c>
      <c r="L60" s="2">
        <f>MIN('CP-ACS'!M53)</f>
        <v>293.42</v>
      </c>
      <c r="M60" s="2">
        <f>MIN('CP-DCM-ACO'!M53)</f>
        <v>278.17</v>
      </c>
      <c r="N60" s="2">
        <f>MIN('MT-CP-DCM-ACO'!M53)</f>
        <v>101.7</v>
      </c>
    </row>
    <row r="61" spans="2:14" x14ac:dyDescent="0.3">
      <c r="B61" t="s">
        <v>58</v>
      </c>
      <c r="C61" s="2">
        <f>MAX('CP-ACS'!J54)</f>
        <v>59</v>
      </c>
      <c r="D61" s="2">
        <f>MAX('CP-DCM-ACO'!J54)</f>
        <v>92</v>
      </c>
      <c r="E61" s="2">
        <f>MAX('MT-CP-DCM-ACO'!J54)</f>
        <v>100</v>
      </c>
      <c r="F61" s="2">
        <f>MIN('CP-ACS'!K54)</f>
        <v>15.766793</v>
      </c>
      <c r="G61" s="2">
        <f>MIN('CP-DCM-ACO'!K54)</f>
        <v>22.014085999999999</v>
      </c>
      <c r="H61" s="2">
        <f>MIN('MT-CP-DCM-ACO'!K54)</f>
        <v>6.4453480000000001</v>
      </c>
      <c r="I61" s="2">
        <f>MIN('CP-ACS'!L54)</f>
        <v>21.789643999999999</v>
      </c>
      <c r="J61" s="2">
        <f>MIN('CP-DCM-ACO'!L54)</f>
        <v>23.483452</v>
      </c>
      <c r="K61" s="2">
        <f>MIN('MT-CP-DCM-ACO'!L54)</f>
        <v>5.2865330000000004</v>
      </c>
      <c r="L61" s="2">
        <f>MIN('CP-ACS'!M54)</f>
        <v>545.64</v>
      </c>
      <c r="M61" s="2">
        <f>MIN('CP-DCM-ACO'!M54)</f>
        <v>974.1</v>
      </c>
      <c r="N61" s="2">
        <f>MIN('MT-CP-DCM-ACO'!M54)</f>
        <v>288.33999999999997</v>
      </c>
    </row>
    <row r="62" spans="2:14" x14ac:dyDescent="0.3">
      <c r="B62" t="s">
        <v>59</v>
      </c>
      <c r="C62" s="2">
        <f>MAX('CP-ACS'!J55)</f>
        <v>93</v>
      </c>
      <c r="D62" s="2">
        <f>MAX('CP-DCM-ACO'!J55)</f>
        <v>100</v>
      </c>
      <c r="E62" s="2">
        <f>MAX('MT-CP-DCM-ACO'!J55)</f>
        <v>100</v>
      </c>
      <c r="F62" s="2">
        <f>MIN('CP-ACS'!K55)</f>
        <v>6.2600509999999998</v>
      </c>
      <c r="G62" s="2">
        <f>MIN('CP-DCM-ACO'!K55)</f>
        <v>3.178741</v>
      </c>
      <c r="H62" s="2">
        <f>MIN('MT-CP-DCM-ACO'!K55)</f>
        <v>1.245574</v>
      </c>
      <c r="I62" s="2">
        <f>MIN('CP-ACS'!L55)</f>
        <v>13.043037999999999</v>
      </c>
      <c r="J62" s="2">
        <f>MIN('CP-DCM-ACO'!L55)</f>
        <v>3.0697930000000002</v>
      </c>
      <c r="K62" s="2">
        <f>MIN('MT-CP-DCM-ACO'!L55)</f>
        <v>0.98894700000000002</v>
      </c>
      <c r="L62" s="2">
        <f>MIN('CP-ACS'!M55)</f>
        <v>194.28</v>
      </c>
      <c r="M62" s="2">
        <f>MIN('CP-DCM-ACO'!M55)</f>
        <v>143.37</v>
      </c>
      <c r="N62" s="2">
        <f>MIN('MT-CP-DCM-ACO'!M55)</f>
        <v>58.62</v>
      </c>
    </row>
    <row r="63" spans="2:14" x14ac:dyDescent="0.3">
      <c r="B63" t="s">
        <v>60</v>
      </c>
      <c r="C63" s="2">
        <f>MAX('CP-ACS'!J56)</f>
        <v>86</v>
      </c>
      <c r="D63" s="2">
        <f>MAX('CP-DCM-ACO'!J56)</f>
        <v>98</v>
      </c>
      <c r="E63" s="2">
        <f>MAX('MT-CP-DCM-ACO'!J56)</f>
        <v>100</v>
      </c>
      <c r="F63" s="2">
        <f>MIN('CP-ACS'!K56)</f>
        <v>8.9929609999999993</v>
      </c>
      <c r="G63" s="2">
        <f>MIN('CP-DCM-ACO'!K56)</f>
        <v>9.0937950000000001</v>
      </c>
      <c r="H63" s="2">
        <f>MIN('MT-CP-DCM-ACO'!K56)</f>
        <v>2.4907430000000002</v>
      </c>
      <c r="I63" s="2">
        <f>MIN('CP-ACS'!L56)</f>
        <v>16.856400000000001</v>
      </c>
      <c r="J63" s="2">
        <f>MIN('CP-DCM-ACO'!L56)</f>
        <v>15.878458999999999</v>
      </c>
      <c r="K63" s="2">
        <f>MIN('MT-CP-DCM-ACO'!L56)</f>
        <v>2.127275</v>
      </c>
      <c r="L63" s="2">
        <f>MIN('CP-ACS'!M56)</f>
        <v>279.19</v>
      </c>
      <c r="M63" s="2">
        <f>MIN('CP-DCM-ACO'!M56)</f>
        <v>390.55</v>
      </c>
      <c r="N63" s="2">
        <f>MIN('MT-CP-DCM-ACO'!M56)</f>
        <v>111.41</v>
      </c>
    </row>
    <row r="64" spans="2:14" x14ac:dyDescent="0.3">
      <c r="B64" t="s">
        <v>61</v>
      </c>
      <c r="C64" s="2">
        <f>MAX('CP-ACS'!J57)</f>
        <v>94</v>
      </c>
      <c r="D64" s="2">
        <f>MAX('CP-DCM-ACO'!J57)</f>
        <v>100</v>
      </c>
      <c r="E64" s="2">
        <f>MAX('MT-CP-DCM-ACO'!J57)</f>
        <v>100</v>
      </c>
      <c r="F64" s="2">
        <f>MIN('CP-ACS'!K57)</f>
        <v>5.9236230000000001</v>
      </c>
      <c r="G64" s="2">
        <f>MIN('CP-DCM-ACO'!K57)</f>
        <v>3.7325409999999999</v>
      </c>
      <c r="H64" s="2">
        <f>MIN('MT-CP-DCM-ACO'!K57)</f>
        <v>1.729155</v>
      </c>
      <c r="I64" s="2">
        <f>MIN('CP-ACS'!L57)</f>
        <v>10.634715999999999</v>
      </c>
      <c r="J64" s="2">
        <f>MIN('CP-DCM-ACO'!L57)</f>
        <v>5.5608820000000003</v>
      </c>
      <c r="K64" s="2">
        <f>MIN('MT-CP-DCM-ACO'!L57)</f>
        <v>1.325472</v>
      </c>
      <c r="L64" s="2">
        <f>MIN('CP-ACS'!M57)</f>
        <v>201.67</v>
      </c>
      <c r="M64" s="2">
        <f>MIN('CP-DCM-ACO'!M57)</f>
        <v>182.14</v>
      </c>
      <c r="N64" s="2">
        <f>MIN('MT-CP-DCM-ACO'!M57)</f>
        <v>80.709999999999994</v>
      </c>
    </row>
    <row r="65" spans="2:14" x14ac:dyDescent="0.3">
      <c r="B65" t="s">
        <v>62</v>
      </c>
      <c r="C65" s="2">
        <f>MAX('CP-ACS'!J58)</f>
        <v>47</v>
      </c>
      <c r="D65" s="2">
        <f>MAX('CP-DCM-ACO'!J58)</f>
        <v>91</v>
      </c>
      <c r="E65" s="2">
        <f>MAX('MT-CP-DCM-ACO'!J58)</f>
        <v>100</v>
      </c>
      <c r="F65" s="2">
        <f>MIN('CP-ACS'!K58)</f>
        <v>29.429897</v>
      </c>
      <c r="G65" s="2">
        <f>MIN('CP-DCM-ACO'!K58)</f>
        <v>30.259221</v>
      </c>
      <c r="H65" s="2">
        <f>MIN('MT-CP-DCM-ACO'!K58)</f>
        <v>13.179262</v>
      </c>
      <c r="I65" s="2">
        <f>MIN('CP-ACS'!L58)</f>
        <v>31.314277000000001</v>
      </c>
      <c r="J65" s="2">
        <f>MIN('CP-DCM-ACO'!L58)</f>
        <v>29.314923</v>
      </c>
      <c r="K65" s="2">
        <f>MIN('MT-CP-DCM-ACO'!L58)</f>
        <v>14.026173</v>
      </c>
      <c r="L65" s="2">
        <f>MIN('CP-ACS'!M58)</f>
        <v>929.81</v>
      </c>
      <c r="M65" s="2">
        <f>MIN('CP-DCM-ACO'!M58)</f>
        <v>1319.04</v>
      </c>
      <c r="N65" s="2">
        <f>MIN('MT-CP-DCM-ACO'!M58)</f>
        <v>590.9</v>
      </c>
    </row>
    <row r="66" spans="2:14" x14ac:dyDescent="0.3">
      <c r="B66" t="s">
        <v>63</v>
      </c>
      <c r="C66" s="2">
        <f>MAX('CP-ACS'!J59)</f>
        <v>77</v>
      </c>
      <c r="D66" s="2">
        <f>MAX('CP-DCM-ACO'!J59)</f>
        <v>100</v>
      </c>
      <c r="E66" s="2">
        <f>MAX('MT-CP-DCM-ACO'!J59)</f>
        <v>100</v>
      </c>
      <c r="F66" s="2">
        <f>MIN('CP-ACS'!K59)</f>
        <v>4.5932870000000001</v>
      </c>
      <c r="G66" s="2">
        <f>MIN('CP-DCM-ACO'!K59)</f>
        <v>6.288862</v>
      </c>
      <c r="H66" s="2">
        <f>MIN('MT-CP-DCM-ACO'!K59)</f>
        <v>1.9432039999999999</v>
      </c>
      <c r="I66" s="2">
        <f>MIN('CP-ACS'!L59)</f>
        <v>7.3636249999999999</v>
      </c>
      <c r="J66" s="2">
        <f>MIN('CP-DCM-ACO'!L59)</f>
        <v>7.7205320000000004</v>
      </c>
      <c r="K66" s="2">
        <f>MIN('MT-CP-DCM-ACO'!L59)</f>
        <v>1.4742420000000001</v>
      </c>
      <c r="L66" s="2">
        <f>MIN('CP-ACS'!M59)</f>
        <v>146.22999999999999</v>
      </c>
      <c r="M66" s="2">
        <f>MIN('CP-DCM-ACO'!M59)</f>
        <v>284.31</v>
      </c>
      <c r="N66" s="2">
        <f>MIN('MT-CP-DCM-ACO'!M59)</f>
        <v>89.23</v>
      </c>
    </row>
    <row r="67" spans="2:14" x14ac:dyDescent="0.3">
      <c r="B67" t="s">
        <v>64</v>
      </c>
      <c r="C67" s="2">
        <f>MAX('CP-ACS'!J60)</f>
        <v>60</v>
      </c>
      <c r="D67" s="2">
        <f>MAX('CP-DCM-ACO'!J60)</f>
        <v>91</v>
      </c>
      <c r="E67" s="2">
        <f>MAX('MT-CP-DCM-ACO'!J60)</f>
        <v>100</v>
      </c>
      <c r="F67" s="2">
        <f>MIN('CP-ACS'!K60)</f>
        <v>17.974872999999999</v>
      </c>
      <c r="G67" s="2">
        <f>MIN('CP-DCM-ACO'!K60)</f>
        <v>17.226423</v>
      </c>
      <c r="H67" s="2">
        <f>MIN('MT-CP-DCM-ACO'!K60)</f>
        <v>6.5231719999999997</v>
      </c>
      <c r="I67" s="2">
        <f>MIN('CP-ACS'!L60)</f>
        <v>25.035658999999999</v>
      </c>
      <c r="J67" s="2">
        <f>MIN('CP-DCM-ACO'!L60)</f>
        <v>19.516552000000001</v>
      </c>
      <c r="K67" s="2">
        <f>MIN('MT-CP-DCM-ACO'!L60)</f>
        <v>6.0595090000000003</v>
      </c>
      <c r="L67" s="2">
        <f>MIN('CP-ACS'!M60)</f>
        <v>635.91999999999996</v>
      </c>
      <c r="M67" s="2">
        <f>MIN('CP-DCM-ACO'!M60)</f>
        <v>795.4</v>
      </c>
      <c r="N67" s="2">
        <f>MIN('MT-CP-DCM-ACO'!M60)</f>
        <v>312.54000000000002</v>
      </c>
    </row>
    <row r="68" spans="2:14" x14ac:dyDescent="0.3">
      <c r="B68" t="s">
        <v>65</v>
      </c>
      <c r="C68" s="2">
        <f>MAX('CP-ACS'!J61)</f>
        <v>92</v>
      </c>
      <c r="D68" s="2">
        <f>MAX('CP-DCM-ACO'!J61)</f>
        <v>100</v>
      </c>
      <c r="E68" s="2">
        <f>MAX('MT-CP-DCM-ACO'!J61)</f>
        <v>100</v>
      </c>
      <c r="F68" s="2">
        <f>MIN('CP-ACS'!K61)</f>
        <v>8.7497430000000005</v>
      </c>
      <c r="G68" s="2">
        <f>MIN('CP-DCM-ACO'!K61)</f>
        <v>4.0518070000000002</v>
      </c>
      <c r="H68" s="2">
        <f>MIN('MT-CP-DCM-ACO'!K61)</f>
        <v>1.488159</v>
      </c>
      <c r="I68" s="2">
        <f>MIN('CP-ACS'!L61)</f>
        <v>15.864901</v>
      </c>
      <c r="J68" s="2">
        <f>MIN('CP-DCM-ACO'!L61)</f>
        <v>11.302942</v>
      </c>
      <c r="K68" s="2">
        <f>MIN('MT-CP-DCM-ACO'!L61)</f>
        <v>1.036651</v>
      </c>
      <c r="L68" s="2">
        <f>MIN('CP-ACS'!M61)</f>
        <v>332.43</v>
      </c>
      <c r="M68" s="2">
        <f>MIN('CP-DCM-ACO'!M61)</f>
        <v>182.23</v>
      </c>
      <c r="N68" s="2">
        <f>MIN('MT-CP-DCM-ACO'!M61)</f>
        <v>67.709999999999994</v>
      </c>
    </row>
    <row r="69" spans="2:14" x14ac:dyDescent="0.3">
      <c r="B69" t="s">
        <v>66</v>
      </c>
      <c r="C69" s="2">
        <f>MAX('CP-ACS'!J62)</f>
        <v>81</v>
      </c>
      <c r="D69" s="2">
        <f>MAX('CP-DCM-ACO'!J62)</f>
        <v>97</v>
      </c>
      <c r="E69" s="2">
        <f>MAX('MT-CP-DCM-ACO'!J62)</f>
        <v>100</v>
      </c>
      <c r="F69" s="2">
        <f>MIN('CP-ACS'!K62)</f>
        <v>10.39751</v>
      </c>
      <c r="G69" s="2">
        <f>MIN('CP-DCM-ACO'!K62)</f>
        <v>9.7027459999999994</v>
      </c>
      <c r="H69" s="2">
        <f>MIN('MT-CP-DCM-ACO'!K62)</f>
        <v>2.387632</v>
      </c>
      <c r="I69" s="2">
        <f>MIN('CP-ACS'!L62)</f>
        <v>18.966207000000001</v>
      </c>
      <c r="J69" s="2">
        <f>MIN('CP-DCM-ACO'!L62)</f>
        <v>15.011309000000001</v>
      </c>
      <c r="K69" s="2">
        <f>MIN('MT-CP-DCM-ACO'!L62)</f>
        <v>2.3618480000000002</v>
      </c>
      <c r="L69" s="2">
        <f>MIN('CP-ACS'!M62)</f>
        <v>400.23</v>
      </c>
      <c r="M69" s="2">
        <f>MIN('CP-DCM-ACO'!M62)</f>
        <v>441.37</v>
      </c>
      <c r="N69" s="2">
        <f>MIN('MT-CP-DCM-ACO'!M62)</f>
        <v>112.74</v>
      </c>
    </row>
    <row r="70" spans="2:14" x14ac:dyDescent="0.3">
      <c r="B70" t="s">
        <v>67</v>
      </c>
      <c r="C70" s="2">
        <f>MAX('CP-ACS'!J63)</f>
        <v>79</v>
      </c>
      <c r="D70" s="2">
        <f>MAX('CP-DCM-ACO'!J63)</f>
        <v>95</v>
      </c>
      <c r="E70" s="2">
        <f>MAX('MT-CP-DCM-ACO'!J63)</f>
        <v>100</v>
      </c>
      <c r="F70" s="2">
        <f>MIN('CP-ACS'!K63)</f>
        <v>15.894873</v>
      </c>
      <c r="G70" s="2">
        <f>MIN('CP-DCM-ACO'!K63)</f>
        <v>12.477133</v>
      </c>
      <c r="H70" s="2">
        <f>MIN('MT-CP-DCM-ACO'!K63)</f>
        <v>5.0716650000000003</v>
      </c>
      <c r="I70" s="2">
        <f>MIN('CP-ACS'!L63)</f>
        <v>22.553083000000001</v>
      </c>
      <c r="J70" s="2">
        <f>MIN('CP-DCM-ACO'!L63)</f>
        <v>12.914853000000001</v>
      </c>
      <c r="K70" s="2">
        <f>MIN('MT-CP-DCM-ACO'!L63)</f>
        <v>4.5542389999999999</v>
      </c>
      <c r="L70" s="2">
        <f>MIN('CP-ACS'!M63)</f>
        <v>597.04</v>
      </c>
      <c r="M70" s="2">
        <f>MIN('CP-DCM-ACO'!M63)</f>
        <v>554.45000000000005</v>
      </c>
      <c r="N70" s="2">
        <f>MIN('MT-CP-DCM-ACO'!M63)</f>
        <v>233.87</v>
      </c>
    </row>
    <row r="71" spans="2:14" x14ac:dyDescent="0.3">
      <c r="B71" t="s">
        <v>68</v>
      </c>
      <c r="C71" s="2">
        <f>MAX('CP-ACS'!J64)</f>
        <v>87</v>
      </c>
      <c r="D71" s="2">
        <f>MAX('CP-DCM-ACO'!J64)</f>
        <v>99</v>
      </c>
      <c r="E71" s="2">
        <f>MAX('MT-CP-DCM-ACO'!J64)</f>
        <v>100</v>
      </c>
      <c r="F71" s="2">
        <f>MIN('CP-ACS'!K64)</f>
        <v>15.580574</v>
      </c>
      <c r="G71" s="2">
        <f>MIN('CP-DCM-ACO'!K64)</f>
        <v>9.288252</v>
      </c>
      <c r="H71" s="2">
        <f>MIN('MT-CP-DCM-ACO'!K64)</f>
        <v>4.8896499999999996</v>
      </c>
      <c r="I71" s="2">
        <f>MIN('CP-ACS'!L64)</f>
        <v>24.556422999999999</v>
      </c>
      <c r="J71" s="2">
        <f>MIN('CP-DCM-ACO'!L64)</f>
        <v>10.944001</v>
      </c>
      <c r="K71" s="2">
        <f>MIN('MT-CP-DCM-ACO'!L64)</f>
        <v>3.7171780000000001</v>
      </c>
      <c r="L71" s="2">
        <f>MIN('CP-ACS'!M64)</f>
        <v>542.47</v>
      </c>
      <c r="M71" s="2">
        <f>MIN('CP-DCM-ACO'!M64)</f>
        <v>402.72</v>
      </c>
      <c r="N71" s="2">
        <f>MIN('MT-CP-DCM-ACO'!M64)</f>
        <v>212.45</v>
      </c>
    </row>
    <row r="72" spans="2:14" x14ac:dyDescent="0.3">
      <c r="B72" t="s">
        <v>69</v>
      </c>
      <c r="C72" s="2">
        <f>MAX('CP-ACS'!J65)</f>
        <v>84</v>
      </c>
      <c r="D72" s="2">
        <f>MAX('CP-DCM-ACO'!J65)</f>
        <v>99</v>
      </c>
      <c r="E72" s="2">
        <f>MAX('MT-CP-DCM-ACO'!J65)</f>
        <v>100</v>
      </c>
      <c r="F72" s="2">
        <f>MIN('CP-ACS'!K65)</f>
        <v>12.93172</v>
      </c>
      <c r="G72" s="2">
        <f>MIN('CP-DCM-ACO'!K65)</f>
        <v>7.9959389999999999</v>
      </c>
      <c r="H72" s="2">
        <f>MIN('MT-CP-DCM-ACO'!K65)</f>
        <v>1.917022</v>
      </c>
      <c r="I72" s="2">
        <f>MIN('CP-ACS'!L65)</f>
        <v>20.943259999999999</v>
      </c>
      <c r="J72" s="2">
        <f>MIN('CP-DCM-ACO'!L65)</f>
        <v>10.959510999999999</v>
      </c>
      <c r="K72" s="2">
        <f>MIN('MT-CP-DCM-ACO'!L65)</f>
        <v>1.3648020000000001</v>
      </c>
      <c r="L72" s="2">
        <f>MIN('CP-ACS'!M65)</f>
        <v>378.81</v>
      </c>
      <c r="M72" s="2">
        <f>MIN('CP-DCM-ACO'!M65)</f>
        <v>360.48</v>
      </c>
      <c r="N72" s="2">
        <f>MIN('MT-CP-DCM-ACO'!M65)</f>
        <v>87.33</v>
      </c>
    </row>
    <row r="73" spans="2:14" x14ac:dyDescent="0.3">
      <c r="B73" t="s">
        <v>70</v>
      </c>
      <c r="C73" s="2">
        <f>MAX('CP-ACS'!J66)</f>
        <v>87</v>
      </c>
      <c r="D73" s="2">
        <f>MAX('CP-DCM-ACO'!J66)</f>
        <v>99</v>
      </c>
      <c r="E73" s="2">
        <f>MAX('MT-CP-DCM-ACO'!J66)</f>
        <v>100</v>
      </c>
      <c r="F73" s="2">
        <f>MIN('CP-ACS'!K66)</f>
        <v>6.041493</v>
      </c>
      <c r="G73" s="2">
        <f>MIN('CP-DCM-ACO'!K66)</f>
        <v>4.3182749999999999</v>
      </c>
      <c r="H73" s="2">
        <f>MIN('MT-CP-DCM-ACO'!K66)</f>
        <v>1.6681060000000001</v>
      </c>
      <c r="I73" s="2">
        <f>MIN('CP-ACS'!L66)</f>
        <v>11.577602000000001</v>
      </c>
      <c r="J73" s="2">
        <f>MIN('CP-DCM-ACO'!L66)</f>
        <v>4.7085610000000004</v>
      </c>
      <c r="K73" s="2">
        <f>MIN('MT-CP-DCM-ACO'!L66)</f>
        <v>1.427465</v>
      </c>
      <c r="L73" s="2">
        <f>MIN('CP-ACS'!M66)</f>
        <v>201.21</v>
      </c>
      <c r="M73" s="2">
        <f>MIN('CP-DCM-ACO'!M66)</f>
        <v>207.38</v>
      </c>
      <c r="N73" s="2">
        <f>MIN('MT-CP-DCM-ACO'!M66)</f>
        <v>79.959999999999994</v>
      </c>
    </row>
    <row r="74" spans="2:14" x14ac:dyDescent="0.3">
      <c r="B74" t="s">
        <v>71</v>
      </c>
      <c r="C74" s="2">
        <f>MAX('CP-ACS'!J67)</f>
        <v>77</v>
      </c>
      <c r="D74" s="2">
        <f>MAX('CP-DCM-ACO'!J67)</f>
        <v>99</v>
      </c>
      <c r="E74" s="2">
        <f>MAX('MT-CP-DCM-ACO'!J67)</f>
        <v>100</v>
      </c>
      <c r="F74" s="2">
        <f>MIN('CP-ACS'!K67)</f>
        <v>14.521198999999999</v>
      </c>
      <c r="G74" s="2">
        <f>MIN('CP-DCM-ACO'!K67)</f>
        <v>12.477116000000001</v>
      </c>
      <c r="H74" s="2">
        <f>MIN('MT-CP-DCM-ACO'!K67)</f>
        <v>5.604781</v>
      </c>
      <c r="I74" s="2">
        <f>MIN('CP-ACS'!L67)</f>
        <v>22.426991999999998</v>
      </c>
      <c r="J74" s="2">
        <f>MIN('CP-DCM-ACO'!L67)</f>
        <v>15.742084999999999</v>
      </c>
      <c r="K74" s="2">
        <f>MIN('MT-CP-DCM-ACO'!L67)</f>
        <v>4.9118620000000002</v>
      </c>
      <c r="L74" s="2">
        <f>MIN('CP-ACS'!M67)</f>
        <v>467.01</v>
      </c>
      <c r="M74" s="2">
        <f>MIN('CP-DCM-ACO'!M67)</f>
        <v>579.47</v>
      </c>
      <c r="N74" s="2">
        <f>MIN('MT-CP-DCM-ACO'!M67)</f>
        <v>247.71</v>
      </c>
    </row>
    <row r="75" spans="2:14" x14ac:dyDescent="0.3">
      <c r="B75" t="s">
        <v>72</v>
      </c>
      <c r="C75" s="2">
        <f>MAX('CP-ACS'!J68)</f>
        <v>84</v>
      </c>
      <c r="D75" s="2">
        <f>MAX('CP-DCM-ACO'!J68)</f>
        <v>100</v>
      </c>
      <c r="E75" s="2">
        <f>MAX('MT-CP-DCM-ACO'!J68)</f>
        <v>100</v>
      </c>
      <c r="F75" s="2">
        <f>MIN('CP-ACS'!K68)</f>
        <v>11.860391999999999</v>
      </c>
      <c r="G75" s="2">
        <f>MIN('CP-DCM-ACO'!K68)</f>
        <v>7.9369050000000003</v>
      </c>
      <c r="H75" s="2">
        <f>MIN('MT-CP-DCM-ACO'!K68)</f>
        <v>3.3642530000000002</v>
      </c>
      <c r="I75" s="2">
        <f>MIN('CP-ACS'!L68)</f>
        <v>18.974959999999999</v>
      </c>
      <c r="J75" s="2">
        <f>MIN('CP-DCM-ACO'!L68)</f>
        <v>6.7041110000000002</v>
      </c>
      <c r="K75" s="2">
        <f>MIN('MT-CP-DCM-ACO'!L68)</f>
        <v>2.405408</v>
      </c>
      <c r="L75" s="2">
        <f>MIN('CP-ACS'!M68)</f>
        <v>380.69</v>
      </c>
      <c r="M75" s="2">
        <f>MIN('CP-DCM-ACO'!M68)</f>
        <v>387.28</v>
      </c>
      <c r="N75" s="2">
        <f>MIN('MT-CP-DCM-ACO'!M68)</f>
        <v>150.75</v>
      </c>
    </row>
    <row r="76" spans="2:14" x14ac:dyDescent="0.3">
      <c r="B76" t="s">
        <v>73</v>
      </c>
      <c r="C76" s="2">
        <f>MAX('CP-ACS'!J69)</f>
        <v>91</v>
      </c>
      <c r="D76" s="2">
        <f>MAX('CP-DCM-ACO'!J69)</f>
        <v>100</v>
      </c>
      <c r="E76" s="2">
        <f>MAX('MT-CP-DCM-ACO'!J69)</f>
        <v>100</v>
      </c>
      <c r="F76" s="2">
        <f>MIN('CP-ACS'!K69)</f>
        <v>5.7167880000000002</v>
      </c>
      <c r="G76" s="2">
        <f>MIN('CP-DCM-ACO'!K69)</f>
        <v>3.6727159999999999</v>
      </c>
      <c r="H76" s="2">
        <f>MIN('MT-CP-DCM-ACO'!K69)</f>
        <v>1.2439899999999999</v>
      </c>
      <c r="I76" s="2">
        <f>MIN('CP-ACS'!L69)</f>
        <v>10.411823</v>
      </c>
      <c r="J76" s="2">
        <f>MIN('CP-DCM-ACO'!L69)</f>
        <v>5.3267810000000004</v>
      </c>
      <c r="K76" s="2">
        <f>MIN('MT-CP-DCM-ACO'!L69)</f>
        <v>0.82345900000000005</v>
      </c>
      <c r="L76" s="2">
        <f>MIN('CP-ACS'!M69)</f>
        <v>194.66</v>
      </c>
      <c r="M76" s="2">
        <f>MIN('CP-DCM-ACO'!M69)</f>
        <v>193.01</v>
      </c>
      <c r="N76" s="2">
        <f>MIN('MT-CP-DCM-ACO'!M69)</f>
        <v>60.29</v>
      </c>
    </row>
    <row r="77" spans="2:14" x14ac:dyDescent="0.3">
      <c r="B77" t="s">
        <v>74</v>
      </c>
      <c r="C77" s="2">
        <f>MAX('CP-ACS'!J70)</f>
        <v>67</v>
      </c>
      <c r="D77" s="2">
        <f>MAX('CP-DCM-ACO'!J70)</f>
        <v>96</v>
      </c>
      <c r="E77" s="2">
        <f>MAX('MT-CP-DCM-ACO'!J70)</f>
        <v>100</v>
      </c>
      <c r="F77" s="2">
        <f>MIN('CP-ACS'!K70)</f>
        <v>17.339175999999998</v>
      </c>
      <c r="G77" s="2">
        <f>MIN('CP-DCM-ACO'!K70)</f>
        <v>19.024279</v>
      </c>
      <c r="H77" s="2">
        <f>MIN('MT-CP-DCM-ACO'!K70)</f>
        <v>6.0317340000000002</v>
      </c>
      <c r="I77" s="2">
        <f>MIN('CP-ACS'!L70)</f>
        <v>22.471715</v>
      </c>
      <c r="J77" s="2">
        <f>MIN('CP-DCM-ACO'!L70)</f>
        <v>23.664255000000001</v>
      </c>
      <c r="K77" s="2">
        <f>MIN('MT-CP-DCM-ACO'!L70)</f>
        <v>4.2816749999999999</v>
      </c>
      <c r="L77" s="2">
        <f>MIN('CP-ACS'!M70)</f>
        <v>541.46</v>
      </c>
      <c r="M77" s="2">
        <f>MIN('CP-DCM-ACO'!M70)</f>
        <v>880.92</v>
      </c>
      <c r="N77" s="2">
        <f>MIN('MT-CP-DCM-ACO'!M70)</f>
        <v>277.41000000000003</v>
      </c>
    </row>
    <row r="78" spans="2:14" x14ac:dyDescent="0.3">
      <c r="B78" t="s">
        <v>75</v>
      </c>
      <c r="C78" s="2">
        <f>MAX('CP-ACS'!J71)</f>
        <v>52</v>
      </c>
      <c r="D78" s="2">
        <f>MAX('CP-DCM-ACO'!J71)</f>
        <v>82</v>
      </c>
      <c r="E78" s="2">
        <f>MAX('MT-CP-DCM-ACO'!J71)</f>
        <v>99</v>
      </c>
      <c r="F78" s="2">
        <f>MIN('CP-ACS'!K71)</f>
        <v>15.069526</v>
      </c>
      <c r="G78" s="2">
        <f>MIN('CP-DCM-ACO'!K71)</f>
        <v>23.162521000000002</v>
      </c>
      <c r="H78" s="2">
        <f>MIN('MT-CP-DCM-ACO'!K71)</f>
        <v>10.537864000000001</v>
      </c>
      <c r="I78" s="2">
        <f>MIN('CP-ACS'!L71)</f>
        <v>21.068729000000001</v>
      </c>
      <c r="J78" s="2">
        <f>MIN('CP-DCM-ACO'!L71)</f>
        <v>29.658674999999999</v>
      </c>
      <c r="K78" s="2">
        <f>MIN('MT-CP-DCM-ACO'!L71)</f>
        <v>14.702876</v>
      </c>
      <c r="L78" s="2">
        <f>MIN('CP-ACS'!M71)</f>
        <v>590.66999999999996</v>
      </c>
      <c r="M78" s="2">
        <f>MIN('CP-DCM-ACO'!M71)</f>
        <v>992.04</v>
      </c>
      <c r="N78" s="2">
        <f>MIN('MT-CP-DCM-ACO'!M71)</f>
        <v>487.34</v>
      </c>
    </row>
    <row r="79" spans="2:14" x14ac:dyDescent="0.3">
      <c r="B79" t="s">
        <v>76</v>
      </c>
      <c r="C79" s="2">
        <f>MAX('CP-ACS'!J72)</f>
        <v>92</v>
      </c>
      <c r="D79" s="2">
        <f>MAX('CP-DCM-ACO'!J72)</f>
        <v>100</v>
      </c>
      <c r="E79" s="2">
        <f>MAX('MT-CP-DCM-ACO'!J72)</f>
        <v>100</v>
      </c>
      <c r="F79" s="2">
        <f>MIN('CP-ACS'!K72)</f>
        <v>7.7462929999999997</v>
      </c>
      <c r="G79" s="2">
        <f>MIN('CP-DCM-ACO'!K72)</f>
        <v>4.3166650000000004</v>
      </c>
      <c r="H79" s="2">
        <f>MIN('MT-CP-DCM-ACO'!K72)</f>
        <v>1.6675469999999999</v>
      </c>
      <c r="I79" s="2">
        <f>MIN('CP-ACS'!L72)</f>
        <v>14.498841000000001</v>
      </c>
      <c r="J79" s="2">
        <f>MIN('CP-DCM-ACO'!L72)</f>
        <v>4.1736579999999996</v>
      </c>
      <c r="K79" s="2">
        <f>MIN('MT-CP-DCM-ACO'!L72)</f>
        <v>1.4379440000000001</v>
      </c>
      <c r="L79" s="2">
        <f>MIN('CP-ACS'!M72)</f>
        <v>280.36</v>
      </c>
      <c r="M79" s="2">
        <f>MIN('CP-DCM-ACO'!M72)</f>
        <v>168.33</v>
      </c>
      <c r="N79" s="2">
        <f>MIN('MT-CP-DCM-ACO'!M72)</f>
        <v>73.599999999999994</v>
      </c>
    </row>
    <row r="80" spans="2:14" x14ac:dyDescent="0.3">
      <c r="B80" t="s">
        <v>77</v>
      </c>
      <c r="C80" s="2">
        <f>MAX('CP-ACS'!J73)</f>
        <v>16</v>
      </c>
      <c r="D80" s="2">
        <f>MAX('CP-DCM-ACO'!J73)</f>
        <v>28</v>
      </c>
      <c r="E80" s="2">
        <f>MAX('MT-CP-DCM-ACO'!J73)</f>
        <v>72</v>
      </c>
      <c r="F80" s="2">
        <f>MIN('CP-ACS'!K73)</f>
        <v>18.117573</v>
      </c>
      <c r="G80" s="2">
        <f>MIN('CP-DCM-ACO'!K73)</f>
        <v>35.095193000000002</v>
      </c>
      <c r="H80" s="2">
        <f>MIN('MT-CP-DCM-ACO'!K73)</f>
        <v>29.498277999999999</v>
      </c>
      <c r="I80" s="2">
        <f>MIN('CP-ACS'!L73)</f>
        <v>15.557634999999999</v>
      </c>
      <c r="J80" s="2">
        <f>MIN('CP-DCM-ACO'!L73)</f>
        <v>28.904102999999999</v>
      </c>
      <c r="K80" s="2">
        <f>MIN('MT-CP-DCM-ACO'!L73)</f>
        <v>30.333314999999999</v>
      </c>
      <c r="L80" s="2">
        <f>MIN('CP-ACS'!M73)</f>
        <v>678.25</v>
      </c>
      <c r="M80" s="2">
        <f>MIN('CP-DCM-ACO'!M73)</f>
        <v>1468.18</v>
      </c>
      <c r="N80" s="2">
        <f>MIN('MT-CP-DCM-ACO'!M73)</f>
        <v>1443.42</v>
      </c>
    </row>
    <row r="81" spans="2:14" x14ac:dyDescent="0.3">
      <c r="B81" t="s">
        <v>78</v>
      </c>
      <c r="C81" s="2">
        <f>MAX('CP-ACS'!J74)</f>
        <v>89</v>
      </c>
      <c r="D81" s="2">
        <f>MAX('CP-DCM-ACO'!J74)</f>
        <v>98</v>
      </c>
      <c r="E81" s="2">
        <f>MAX('MT-CP-DCM-ACO'!J74)</f>
        <v>100</v>
      </c>
      <c r="F81" s="2">
        <f>MIN('CP-ACS'!K74)</f>
        <v>9.8076039999999995</v>
      </c>
      <c r="G81" s="2">
        <f>MIN('CP-DCM-ACO'!K74)</f>
        <v>10.894835</v>
      </c>
      <c r="H81" s="2">
        <f>MIN('MT-CP-DCM-ACO'!K74)</f>
        <v>2.4772240000000001</v>
      </c>
      <c r="I81" s="2">
        <f>MIN('CP-ACS'!L74)</f>
        <v>18.449487999999999</v>
      </c>
      <c r="J81" s="2">
        <f>MIN('CP-DCM-ACO'!L74)</f>
        <v>11.571622</v>
      </c>
      <c r="K81" s="2">
        <f>MIN('MT-CP-DCM-ACO'!L74)</f>
        <v>2.2985549999999999</v>
      </c>
      <c r="L81" s="2">
        <f>MIN('CP-ACS'!M74)</f>
        <v>321.48</v>
      </c>
      <c r="M81" s="2">
        <f>MIN('CP-DCM-ACO'!M74)</f>
        <v>245.47</v>
      </c>
      <c r="N81" s="2">
        <f>MIN('MT-CP-DCM-ACO'!M74)</f>
        <v>116.53</v>
      </c>
    </row>
    <row r="82" spans="2:14" x14ac:dyDescent="0.3">
      <c r="B82" t="s">
        <v>79</v>
      </c>
      <c r="C82" s="2">
        <f>MAX('CP-ACS'!J75)</f>
        <v>94</v>
      </c>
      <c r="D82" s="2">
        <f>MAX('CP-DCM-ACO'!J75)</f>
        <v>100</v>
      </c>
      <c r="E82" s="2">
        <f>MAX('MT-CP-DCM-ACO'!J75)</f>
        <v>100</v>
      </c>
      <c r="F82" s="2">
        <f>MIN('CP-ACS'!K75)</f>
        <v>6.0214730000000003</v>
      </c>
      <c r="G82" s="2">
        <f>MIN('CP-DCM-ACO'!K75)</f>
        <v>3.142671</v>
      </c>
      <c r="H82" s="2">
        <f>MIN('MT-CP-DCM-ACO'!K75)</f>
        <v>0.34357100000000002</v>
      </c>
      <c r="I82" s="2">
        <f>MIN('CP-ACS'!L75)</f>
        <v>13.712348</v>
      </c>
      <c r="J82" s="2">
        <f>MIN('CP-DCM-ACO'!L75)</f>
        <v>9.8562980000000007</v>
      </c>
      <c r="K82" s="2">
        <f>MIN('MT-CP-DCM-ACO'!L75)</f>
        <v>0.63483199999999995</v>
      </c>
      <c r="L82" s="2">
        <f>MIN('CP-ACS'!M75)</f>
        <v>283.86</v>
      </c>
      <c r="M82" s="2">
        <f>MIN('CP-DCM-ACO'!M75)</f>
        <v>120.23</v>
      </c>
      <c r="N82" s="2">
        <f>MIN('MT-CP-DCM-ACO'!M75)</f>
        <v>23.98</v>
      </c>
    </row>
    <row r="83" spans="2:14" x14ac:dyDescent="0.3">
      <c r="B83" t="s">
        <v>80</v>
      </c>
      <c r="C83" s="2">
        <f>MAX('CP-ACS'!J76)</f>
        <v>81</v>
      </c>
      <c r="D83" s="2">
        <f>MAX('CP-DCM-ACO'!J76)</f>
        <v>100</v>
      </c>
      <c r="E83" s="2">
        <f>MAX('MT-CP-DCM-ACO'!J76)</f>
        <v>100</v>
      </c>
      <c r="F83" s="2">
        <f>MIN('CP-ACS'!K76)</f>
        <v>5.0317119999999997</v>
      </c>
      <c r="G83" s="2">
        <f>MIN('CP-DCM-ACO'!K76)</f>
        <v>0.83128899999999994</v>
      </c>
      <c r="H83" s="2">
        <f>MIN('MT-CP-DCM-ACO'!K76)</f>
        <v>0.16772999999999999</v>
      </c>
      <c r="I83" s="2">
        <f>MIN('CP-ACS'!L76)</f>
        <v>15.460728</v>
      </c>
      <c r="J83" s="2">
        <f>MIN('CP-DCM-ACO'!L76)</f>
        <v>1.818762</v>
      </c>
      <c r="K83" s="2">
        <f>MIN('MT-CP-DCM-ACO'!L76)</f>
        <v>0.21821299999999999</v>
      </c>
      <c r="L83" s="2">
        <f>MIN('CP-ACS'!M76)</f>
        <v>286.51</v>
      </c>
      <c r="M83" s="2">
        <f>MIN('CP-DCM-ACO'!M76)</f>
        <v>65.19</v>
      </c>
      <c r="N83" s="2">
        <f>MIN('MT-CP-DCM-ACO'!M76)</f>
        <v>13.35</v>
      </c>
    </row>
    <row r="84" spans="2:14" x14ac:dyDescent="0.3">
      <c r="B84" t="s">
        <v>81</v>
      </c>
      <c r="C84" s="2">
        <f>MAX('CP-ACS'!J77)</f>
        <v>77</v>
      </c>
      <c r="D84" s="2">
        <f>MAX('CP-DCM-ACO'!J77)</f>
        <v>100</v>
      </c>
      <c r="E84" s="2">
        <f>MAX('MT-CP-DCM-ACO'!J77)</f>
        <v>100</v>
      </c>
      <c r="F84" s="2">
        <f>MIN('CP-ACS'!K77)</f>
        <v>8.5961350000000003</v>
      </c>
      <c r="G84" s="2">
        <f>MIN('CP-DCM-ACO'!K77)</f>
        <v>1.9468840000000001</v>
      </c>
      <c r="H84" s="2">
        <f>MIN('MT-CP-DCM-ACO'!K77)</f>
        <v>0.32012000000000002</v>
      </c>
      <c r="I84" s="2">
        <f>MIN('CP-ACS'!L77)</f>
        <v>18.450372000000002</v>
      </c>
      <c r="J84" s="2">
        <f>MIN('CP-DCM-ACO'!L77)</f>
        <v>2.861685</v>
      </c>
      <c r="K84" s="2">
        <f>MIN('MT-CP-DCM-ACO'!L77)</f>
        <v>0.347273</v>
      </c>
      <c r="L84" s="2">
        <f>MIN('CP-ACS'!M77)</f>
        <v>461.91</v>
      </c>
      <c r="M84" s="2">
        <f>MIN('CP-DCM-ACO'!M77)</f>
        <v>161.13999999999999</v>
      </c>
      <c r="N84" s="2">
        <f>MIN('MT-CP-DCM-ACO'!M77)</f>
        <v>27.29</v>
      </c>
    </row>
    <row r="85" spans="2:14" x14ac:dyDescent="0.3">
      <c r="B85" t="s">
        <v>82</v>
      </c>
      <c r="C85" s="2">
        <f>MAX('CP-ACS'!J78)</f>
        <v>93</v>
      </c>
      <c r="D85" s="2">
        <f>MAX('CP-DCM-ACO'!J78)</f>
        <v>100</v>
      </c>
      <c r="E85" s="2">
        <f>MAX('MT-CP-DCM-ACO'!J78)</f>
        <v>100</v>
      </c>
      <c r="F85" s="2">
        <f>MIN('CP-ACS'!K78)</f>
        <v>4.06874</v>
      </c>
      <c r="G85" s="2">
        <f>MIN('CP-DCM-ACO'!K78)</f>
        <v>0.527729</v>
      </c>
      <c r="H85" s="2">
        <f>MIN('MT-CP-DCM-ACO'!K78)</f>
        <v>0.20231099999999999</v>
      </c>
      <c r="I85" s="2">
        <f>MIN('CP-ACS'!L78)</f>
        <v>14.643506</v>
      </c>
      <c r="J85" s="2">
        <f>MIN('CP-DCM-ACO'!L78)</f>
        <v>1.103011</v>
      </c>
      <c r="K85" s="2">
        <f>MIN('MT-CP-DCM-ACO'!L78)</f>
        <v>0.14605699999999999</v>
      </c>
      <c r="L85" s="2">
        <f>MIN('CP-ACS'!M78)</f>
        <v>223.87</v>
      </c>
      <c r="M85" s="2">
        <f>MIN('CP-DCM-ACO'!M78)</f>
        <v>35.15</v>
      </c>
      <c r="N85" s="2">
        <f>MIN('MT-CP-DCM-ACO'!M78)</f>
        <v>14.08</v>
      </c>
    </row>
    <row r="86" spans="2:14" x14ac:dyDescent="0.3">
      <c r="B86" t="s">
        <v>83</v>
      </c>
      <c r="C86" s="2">
        <f>MAX('CP-ACS'!J79)</f>
        <v>63</v>
      </c>
      <c r="D86" s="2">
        <f>MAX('CP-DCM-ACO'!J79)</f>
        <v>98</v>
      </c>
      <c r="E86" s="2">
        <f>MAX('MT-CP-DCM-ACO'!J79)</f>
        <v>100</v>
      </c>
      <c r="F86" s="2">
        <f>MIN('CP-ACS'!K79)</f>
        <v>2.598649</v>
      </c>
      <c r="G86" s="2">
        <f>MIN('CP-DCM-ACO'!K79)</f>
        <v>6.1099870000000003</v>
      </c>
      <c r="H86" s="2">
        <f>MIN('MT-CP-DCM-ACO'!K79)</f>
        <v>0.47274100000000002</v>
      </c>
      <c r="I86" s="2">
        <f>MIN('CP-ACS'!L79)</f>
        <v>7.1084639999999997</v>
      </c>
      <c r="J86" s="2">
        <f>MIN('CP-DCM-ACO'!L79)</f>
        <v>13.325388</v>
      </c>
      <c r="K86" s="2">
        <f>MIN('MT-CP-DCM-ACO'!L79)</f>
        <v>0.58611800000000003</v>
      </c>
      <c r="L86" s="2">
        <f>MIN('CP-ACS'!M79)</f>
        <v>171.27</v>
      </c>
      <c r="M86" s="2">
        <f>MIN('CP-DCM-ACO'!M79)</f>
        <v>456.85</v>
      </c>
      <c r="N86" s="2">
        <f>MIN('MT-CP-DCM-ACO'!M79)</f>
        <v>36.72</v>
      </c>
    </row>
    <row r="87" spans="2:14" x14ac:dyDescent="0.3">
      <c r="B87" t="s">
        <v>84</v>
      </c>
      <c r="C87" s="2">
        <f>MAX('CP-ACS'!J80)</f>
        <v>29</v>
      </c>
      <c r="D87" s="2">
        <f>MAX('CP-DCM-ACO'!J80)</f>
        <v>90</v>
      </c>
      <c r="E87" s="2">
        <f>MAX('MT-CP-DCM-ACO'!J80)</f>
        <v>100</v>
      </c>
      <c r="F87" s="2">
        <f>MIN('CP-ACS'!K80)</f>
        <v>11.678478</v>
      </c>
      <c r="G87" s="2">
        <f>MIN('CP-DCM-ACO'!K80)</f>
        <v>17.991420999999999</v>
      </c>
      <c r="H87" s="2">
        <f>MIN('MT-CP-DCM-ACO'!K80)</f>
        <v>6.4753759999999998</v>
      </c>
      <c r="I87" s="2">
        <f>MIN('CP-ACS'!L80)</f>
        <v>27.031704000000001</v>
      </c>
      <c r="J87" s="2">
        <f>MIN('CP-DCM-ACO'!L80)</f>
        <v>26.410463</v>
      </c>
      <c r="K87" s="2">
        <f>MIN('MT-CP-DCM-ACO'!L80)</f>
        <v>13.0961</v>
      </c>
      <c r="L87" s="2">
        <f>MIN('CP-ACS'!M80)</f>
        <v>678.72</v>
      </c>
      <c r="M87" s="2">
        <f>MIN('CP-DCM-ACO'!M80)</f>
        <v>1355.07</v>
      </c>
      <c r="N87" s="2">
        <f>MIN('MT-CP-DCM-ACO'!M80)</f>
        <v>505.88</v>
      </c>
    </row>
    <row r="88" spans="2:14" x14ac:dyDescent="0.3">
      <c r="B88" t="s">
        <v>85</v>
      </c>
      <c r="C88" s="2">
        <f>MAX('CP-ACS'!J81)</f>
        <v>90</v>
      </c>
      <c r="D88" s="2">
        <f>MAX('CP-DCM-ACO'!J81)</f>
        <v>100</v>
      </c>
      <c r="E88" s="2">
        <f>MAX('MT-CP-DCM-ACO'!J81)</f>
        <v>100</v>
      </c>
      <c r="F88" s="2">
        <f>MIN('CP-ACS'!K81)</f>
        <v>1.37215</v>
      </c>
      <c r="G88" s="2">
        <f>MIN('CP-DCM-ACO'!K81)</f>
        <v>1.1708590000000001</v>
      </c>
      <c r="H88" s="2">
        <f>MIN('MT-CP-DCM-ACO'!K81)</f>
        <v>0.13340399999999999</v>
      </c>
      <c r="I88" s="2">
        <f>MIN('CP-ACS'!L81)</f>
        <v>4.6901529999999996</v>
      </c>
      <c r="J88" s="2">
        <f>MIN('CP-DCM-ACO'!L81)</f>
        <v>7.6529579999999999</v>
      </c>
      <c r="K88" s="2">
        <f>MIN('MT-CP-DCM-ACO'!L81)</f>
        <v>9.0311000000000002E-2</v>
      </c>
      <c r="L88" s="2">
        <f>MIN('CP-ACS'!M81)</f>
        <v>64.69</v>
      </c>
      <c r="M88" s="2">
        <f>MIN('CP-DCM-ACO'!M81)</f>
        <v>93.4</v>
      </c>
      <c r="N88" s="2">
        <f>MIN('MT-CP-DCM-ACO'!M81)</f>
        <v>11</v>
      </c>
    </row>
    <row r="89" spans="2:14" x14ac:dyDescent="0.3">
      <c r="B89" t="s">
        <v>86</v>
      </c>
      <c r="C89" s="2">
        <f>MAX('CP-ACS'!J82)</f>
        <v>52</v>
      </c>
      <c r="D89" s="2">
        <f>MAX('CP-DCM-ACO'!J82)</f>
        <v>89</v>
      </c>
      <c r="E89" s="2">
        <f>MAX('MT-CP-DCM-ACO'!J82)</f>
        <v>99</v>
      </c>
      <c r="F89" s="2">
        <f>MIN('CP-ACS'!K82)</f>
        <v>10.417624</v>
      </c>
      <c r="G89" s="2">
        <f>MIN('CP-DCM-ACO'!K82)</f>
        <v>10.456529</v>
      </c>
      <c r="H89" s="2">
        <f>MIN('MT-CP-DCM-ACO'!K82)</f>
        <v>1.774524</v>
      </c>
      <c r="I89" s="2">
        <f>MIN('CP-ACS'!L82)</f>
        <v>24.071059999999999</v>
      </c>
      <c r="J89" s="2">
        <f>MIN('CP-DCM-ACO'!L82)</f>
        <v>21.730530000000002</v>
      </c>
      <c r="K89" s="2">
        <f>MIN('MT-CP-DCM-ACO'!L82)</f>
        <v>8.3937019999999993</v>
      </c>
      <c r="L89" s="2">
        <f>MIN('CP-ACS'!M82)</f>
        <v>701.71</v>
      </c>
      <c r="M89" s="2">
        <f>MIN('CP-DCM-ACO'!M82)</f>
        <v>823.73</v>
      </c>
      <c r="N89" s="2">
        <f>MIN('MT-CP-DCM-ACO'!M82)</f>
        <v>148.43</v>
      </c>
    </row>
    <row r="90" spans="2:14" x14ac:dyDescent="0.3">
      <c r="B90" t="s">
        <v>87</v>
      </c>
      <c r="C90" s="2">
        <f>MAX('CP-ACS'!J83)</f>
        <v>88</v>
      </c>
      <c r="D90" s="2">
        <f>MAX('CP-DCM-ACO'!J83)</f>
        <v>100</v>
      </c>
      <c r="E90" s="2">
        <f>MAX('MT-CP-DCM-ACO'!J83)</f>
        <v>100</v>
      </c>
      <c r="F90" s="2">
        <f>MIN('CP-ACS'!K83)</f>
        <v>4.8372130000000002</v>
      </c>
      <c r="G90" s="2">
        <f>MIN('CP-DCM-ACO'!K83)</f>
        <v>4.073969</v>
      </c>
      <c r="H90" s="2">
        <f>MIN('MT-CP-DCM-ACO'!K83)</f>
        <v>0.55876999999999999</v>
      </c>
      <c r="I90" s="2">
        <f>MIN('CP-ACS'!L83)</f>
        <v>9.7784569999999995</v>
      </c>
      <c r="J90" s="2">
        <f>MIN('CP-DCM-ACO'!L83)</f>
        <v>9.8633019999999991</v>
      </c>
      <c r="K90" s="2">
        <f>MIN('MT-CP-DCM-ACO'!L83)</f>
        <v>0.59529500000000002</v>
      </c>
      <c r="L90" s="2">
        <f>MIN('CP-ACS'!M83)</f>
        <v>256.93</v>
      </c>
      <c r="M90" s="2">
        <f>MIN('CP-DCM-ACO'!M83)</f>
        <v>239.76</v>
      </c>
      <c r="N90" s="2">
        <f>MIN('MT-CP-DCM-ACO'!M83)</f>
        <v>34.71</v>
      </c>
    </row>
    <row r="91" spans="2:14" x14ac:dyDescent="0.3">
      <c r="B91" t="s">
        <v>88</v>
      </c>
      <c r="C91" s="2">
        <f>MAX('CP-ACS'!J84)</f>
        <v>82</v>
      </c>
      <c r="D91" s="2">
        <f>MAX('CP-DCM-ACO'!J84)</f>
        <v>99</v>
      </c>
      <c r="E91" s="2">
        <f>MAX('MT-CP-DCM-ACO'!J84)</f>
        <v>100</v>
      </c>
      <c r="F91" s="2">
        <f>MIN('CP-ACS'!K84)</f>
        <v>14.805918</v>
      </c>
      <c r="G91" s="2">
        <f>MIN('CP-DCM-ACO'!K84)</f>
        <v>9.2059960000000007</v>
      </c>
      <c r="H91" s="2">
        <f>MIN('MT-CP-DCM-ACO'!K84)</f>
        <v>1.938628</v>
      </c>
      <c r="I91" s="2">
        <f>MIN('CP-ACS'!L84)</f>
        <v>23.516273000000002</v>
      </c>
      <c r="J91" s="2">
        <f>MIN('CP-DCM-ACO'!L84)</f>
        <v>14.852266</v>
      </c>
      <c r="K91" s="2">
        <f>MIN('MT-CP-DCM-ACO'!L84)</f>
        <v>1.866695</v>
      </c>
      <c r="L91" s="2">
        <f>MIN('CP-ACS'!M84)</f>
        <v>654.15</v>
      </c>
      <c r="M91" s="2">
        <f>MIN('CP-DCM-ACO'!M84)</f>
        <v>530.16</v>
      </c>
      <c r="N91" s="2">
        <f>MIN('MT-CP-DCM-ACO'!M84)</f>
        <v>118.22</v>
      </c>
    </row>
    <row r="92" spans="2:14" x14ac:dyDescent="0.3">
      <c r="B92" t="s">
        <v>89</v>
      </c>
      <c r="C92" s="2">
        <f>MAX('CP-ACS'!J85)</f>
        <v>90</v>
      </c>
      <c r="D92" s="2">
        <f>MAX('CP-DCM-ACO'!J85)</f>
        <v>100</v>
      </c>
      <c r="E92" s="2">
        <f>MAX('MT-CP-DCM-ACO'!J85)</f>
        <v>100</v>
      </c>
      <c r="F92" s="2">
        <f>MIN('CP-ACS'!K85)</f>
        <v>4.0619509999999996</v>
      </c>
      <c r="G92" s="2">
        <f>MIN('CP-DCM-ACO'!K85)</f>
        <v>1.2841579999999999</v>
      </c>
      <c r="H92" s="2">
        <f>MIN('MT-CP-DCM-ACO'!K85)</f>
        <v>0.15389600000000001</v>
      </c>
      <c r="I92" s="2">
        <f>MIN('CP-ACS'!L85)</f>
        <v>9.6666629999999998</v>
      </c>
      <c r="J92" s="2">
        <f>MIN('CP-DCM-ACO'!L85)</f>
        <v>3.413878</v>
      </c>
      <c r="K92" s="2">
        <f>MIN('MT-CP-DCM-ACO'!L85)</f>
        <v>9.0191999999999994E-2</v>
      </c>
      <c r="L92" s="2">
        <f>MIN('CP-ACS'!M85)</f>
        <v>227.47</v>
      </c>
      <c r="M92" s="2">
        <f>MIN('CP-DCM-ACO'!M85)</f>
        <v>89.86</v>
      </c>
      <c r="N92" s="2">
        <f>MIN('MT-CP-DCM-ACO'!M85)</f>
        <v>11.15</v>
      </c>
    </row>
    <row r="93" spans="2:14" x14ac:dyDescent="0.3">
      <c r="B93" t="s">
        <v>90</v>
      </c>
      <c r="C93" s="2">
        <f>MAX('CP-ACS'!J86)</f>
        <v>78</v>
      </c>
      <c r="D93" s="2">
        <f>MAX('CP-DCM-ACO'!J86)</f>
        <v>93</v>
      </c>
      <c r="E93" s="2">
        <f>MAX('MT-CP-DCM-ACO'!J86)</f>
        <v>100</v>
      </c>
      <c r="F93" s="2">
        <f>MIN('CP-ACS'!K86)</f>
        <v>12.406715999999999</v>
      </c>
      <c r="G93" s="2">
        <f>MIN('CP-DCM-ACO'!K86)</f>
        <v>5.1482080000000003</v>
      </c>
      <c r="H93" s="2">
        <f>MIN('MT-CP-DCM-ACO'!K86)</f>
        <v>1.556127</v>
      </c>
      <c r="I93" s="2">
        <f>MIN('CP-ACS'!L86)</f>
        <v>22.716678000000002</v>
      </c>
      <c r="J93" s="2">
        <f>MIN('CP-DCM-ACO'!L86)</f>
        <v>8.5476609999999997</v>
      </c>
      <c r="K93" s="2">
        <f>MIN('MT-CP-DCM-ACO'!L86)</f>
        <v>2.4005160000000001</v>
      </c>
      <c r="L93" s="2">
        <f>MIN('CP-ACS'!M86)</f>
        <v>577.85</v>
      </c>
      <c r="M93" s="2">
        <f>MIN('CP-DCM-ACO'!M86)</f>
        <v>303.41000000000003</v>
      </c>
      <c r="N93" s="2">
        <f>MIN('MT-CP-DCM-ACO'!M86)</f>
        <v>95.24</v>
      </c>
    </row>
    <row r="94" spans="2:14" x14ac:dyDescent="0.3">
      <c r="B94" t="s">
        <v>91</v>
      </c>
      <c r="C94" s="2">
        <f>MAX('CP-ACS'!J87)</f>
        <v>41</v>
      </c>
      <c r="D94" s="2">
        <f>MAX('CP-DCM-ACO'!J87)</f>
        <v>81</v>
      </c>
      <c r="E94" s="2">
        <f>MAX('MT-CP-DCM-ACO'!J87)</f>
        <v>99</v>
      </c>
      <c r="F94" s="2">
        <f>MIN('CP-ACS'!K87)</f>
        <v>17.740870000000001</v>
      </c>
      <c r="G94" s="2">
        <f>MIN('CP-DCM-ACO'!K87)</f>
        <v>15.20833</v>
      </c>
      <c r="H94" s="2">
        <f>MIN('MT-CP-DCM-ACO'!K87)</f>
        <v>4.04861</v>
      </c>
      <c r="I94" s="2">
        <f>MIN('CP-ACS'!L87)</f>
        <v>30.912541000000001</v>
      </c>
      <c r="J94" s="2">
        <f>MIN('CP-DCM-ACO'!L87)</f>
        <v>24.981542000000001</v>
      </c>
      <c r="K94" s="2">
        <f>MIN('MT-CP-DCM-ACO'!L87)</f>
        <v>5.2400380000000002</v>
      </c>
      <c r="L94" s="2">
        <f>MIN('CP-ACS'!M87)</f>
        <v>921.05</v>
      </c>
      <c r="M94" s="2">
        <f>MIN('CP-DCM-ACO'!M87)</f>
        <v>1002.58</v>
      </c>
      <c r="N94" s="2">
        <f>MIN('MT-CP-DCM-ACO'!M87)</f>
        <v>273.17</v>
      </c>
    </row>
    <row r="95" spans="2:14" x14ac:dyDescent="0.3">
      <c r="B95" t="s">
        <v>92</v>
      </c>
      <c r="C95" s="2">
        <f>MAX('CP-ACS'!J88)</f>
        <v>58</v>
      </c>
      <c r="D95" s="2">
        <f>MAX('CP-DCM-ACO'!J88)</f>
        <v>92</v>
      </c>
      <c r="E95" s="2">
        <f>MAX('MT-CP-DCM-ACO'!J88)</f>
        <v>100</v>
      </c>
      <c r="F95" s="2">
        <f>MIN('CP-ACS'!K88)</f>
        <v>14.043323000000001</v>
      </c>
      <c r="G95" s="2">
        <f>MIN('CP-DCM-ACO'!K88)</f>
        <v>15.506463</v>
      </c>
      <c r="H95" s="2">
        <f>MIN('MT-CP-DCM-ACO'!K88)</f>
        <v>3.9452389999999999</v>
      </c>
      <c r="I95" s="2">
        <f>MIN('CP-ACS'!L88)</f>
        <v>23.362200999999999</v>
      </c>
      <c r="J95" s="2">
        <f>MIN('CP-DCM-ACO'!L88)</f>
        <v>24.725508999999999</v>
      </c>
      <c r="K95" s="2">
        <f>MIN('MT-CP-DCM-ACO'!L88)</f>
        <v>12.539399</v>
      </c>
      <c r="L95" s="2">
        <f>MIN('CP-ACS'!M88)</f>
        <v>689.45</v>
      </c>
      <c r="M95" s="2">
        <f>MIN('CP-DCM-ACO'!M88)</f>
        <v>1115.6099999999999</v>
      </c>
      <c r="N95" s="2">
        <f>MIN('MT-CP-DCM-ACO'!M88)</f>
        <v>255.84</v>
      </c>
    </row>
    <row r="96" spans="2:14" x14ac:dyDescent="0.3">
      <c r="B96" t="s">
        <v>93</v>
      </c>
      <c r="C96" s="2">
        <f>MAX('CP-ACS'!J89)</f>
        <v>74</v>
      </c>
      <c r="D96" s="2">
        <f>MAX('CP-DCM-ACO'!J89)</f>
        <v>100</v>
      </c>
      <c r="E96" s="2">
        <f>MAX('MT-CP-DCM-ACO'!J89)</f>
        <v>100</v>
      </c>
      <c r="F96" s="2">
        <f>MIN('CP-ACS'!K89)</f>
        <v>14.312984999999999</v>
      </c>
      <c r="G96" s="2">
        <f>MIN('CP-DCM-ACO'!K89)</f>
        <v>1.0778669999999999</v>
      </c>
      <c r="H96" s="2">
        <f>MIN('MT-CP-DCM-ACO'!K89)</f>
        <v>0.18357799999999999</v>
      </c>
      <c r="I96" s="2">
        <f>MIN('CP-ACS'!L89)</f>
        <v>24.102336000000001</v>
      </c>
      <c r="J96" s="2">
        <f>MIN('CP-DCM-ACO'!L89)</f>
        <v>1.957765</v>
      </c>
      <c r="K96" s="2">
        <f>MIN('MT-CP-DCM-ACO'!L89)</f>
        <v>0.26537300000000003</v>
      </c>
      <c r="L96" s="2">
        <f>MIN('CP-ACS'!M89)</f>
        <v>976.65</v>
      </c>
      <c r="M96" s="2">
        <f>MIN('CP-DCM-ACO'!M89)</f>
        <v>108.47</v>
      </c>
      <c r="N96" s="2">
        <f>MIN('MT-CP-DCM-ACO'!M89)</f>
        <v>16.53</v>
      </c>
    </row>
    <row r="97" spans="2:14" x14ac:dyDescent="0.3">
      <c r="B97" t="s">
        <v>94</v>
      </c>
      <c r="C97" s="2">
        <f>MAX('CP-ACS'!J90)</f>
        <v>59</v>
      </c>
      <c r="D97" s="2">
        <f>MAX('CP-DCM-ACO'!J90)</f>
        <v>96</v>
      </c>
      <c r="E97" s="2">
        <f>MAX('MT-CP-DCM-ACO'!J90)</f>
        <v>100</v>
      </c>
      <c r="F97" s="2">
        <f>MIN('CP-ACS'!K90)</f>
        <v>7.5964039999999997</v>
      </c>
      <c r="G97" s="2">
        <f>MIN('CP-DCM-ACO'!K90)</f>
        <v>10.286118</v>
      </c>
      <c r="H97" s="2">
        <f>MIN('MT-CP-DCM-ACO'!K90)</f>
        <v>1.9061619999999999</v>
      </c>
      <c r="I97" s="2">
        <f>MIN('CP-ACS'!L90)</f>
        <v>18.079874</v>
      </c>
      <c r="J97" s="2">
        <f>MIN('CP-DCM-ACO'!L90)</f>
        <v>18.614082</v>
      </c>
      <c r="K97" s="2">
        <f>MIN('MT-CP-DCM-ACO'!L90)</f>
        <v>2.820128</v>
      </c>
      <c r="L97" s="2">
        <f>MIN('CP-ACS'!M90)</f>
        <v>454.29</v>
      </c>
      <c r="M97" s="2">
        <f>MIN('CP-DCM-ACO'!M90)</f>
        <v>878.3</v>
      </c>
      <c r="N97" s="2">
        <f>MIN('MT-CP-DCM-ACO'!M90)</f>
        <v>147.03</v>
      </c>
    </row>
    <row r="98" spans="2:14" x14ac:dyDescent="0.3">
      <c r="B98" t="s">
        <v>95</v>
      </c>
      <c r="C98" s="2">
        <f>MAX('CP-ACS'!J91)</f>
        <v>88</v>
      </c>
      <c r="D98" s="2">
        <f>MAX('CP-DCM-ACO'!J91)</f>
        <v>100</v>
      </c>
      <c r="E98" s="2">
        <f>MAX('MT-CP-DCM-ACO'!J91)</f>
        <v>100</v>
      </c>
      <c r="F98" s="2">
        <f>MIN('CP-ACS'!K91)</f>
        <v>7.0089480000000002</v>
      </c>
      <c r="G98" s="2">
        <f>MIN('CP-DCM-ACO'!K91)</f>
        <v>1.9423299999999999</v>
      </c>
      <c r="H98" s="2">
        <f>MIN('MT-CP-DCM-ACO'!K91)</f>
        <v>0.40699600000000002</v>
      </c>
      <c r="I98" s="2">
        <f>MIN('CP-ACS'!L91)</f>
        <v>17.853907</v>
      </c>
      <c r="J98" s="2">
        <f>MIN('CP-DCM-ACO'!L91)</f>
        <v>6.6460840000000001</v>
      </c>
      <c r="K98" s="2">
        <f>MIN('MT-CP-DCM-ACO'!L91)</f>
        <v>0.50442100000000001</v>
      </c>
      <c r="L98" s="2">
        <f>MIN('CP-ACS'!M91)</f>
        <v>365.39</v>
      </c>
      <c r="M98" s="2">
        <f>MIN('CP-DCM-ACO'!M91)</f>
        <v>155.47999999999999</v>
      </c>
      <c r="N98" s="2">
        <f>MIN('MT-CP-DCM-ACO'!M91)</f>
        <v>29.99</v>
      </c>
    </row>
    <row r="99" spans="2:14" x14ac:dyDescent="0.3">
      <c r="B99" t="s">
        <v>96</v>
      </c>
      <c r="C99" s="2">
        <f>MAX('CP-ACS'!J92)</f>
        <v>72</v>
      </c>
      <c r="D99" s="2">
        <f>MAX('CP-DCM-ACO'!J92)</f>
        <v>100</v>
      </c>
      <c r="E99" s="2">
        <f>MAX('MT-CP-DCM-ACO'!J92)</f>
        <v>100</v>
      </c>
      <c r="F99" s="2">
        <f>MIN('CP-ACS'!K92)</f>
        <v>3.5508869999999999</v>
      </c>
      <c r="G99" s="2">
        <f>MIN('CP-DCM-ACO'!K92)</f>
        <v>1.243744</v>
      </c>
      <c r="H99" s="2">
        <f>MIN('MT-CP-DCM-ACO'!K92)</f>
        <v>0.206039</v>
      </c>
      <c r="I99" s="2">
        <f>MIN('CP-ACS'!L92)</f>
        <v>15.075018999999999</v>
      </c>
      <c r="J99" s="2">
        <f>MIN('CP-DCM-ACO'!L92)</f>
        <v>2.419333</v>
      </c>
      <c r="K99" s="2">
        <f>MIN('MT-CP-DCM-ACO'!L92)</f>
        <v>0.27263599999999999</v>
      </c>
      <c r="L99" s="2">
        <f>MIN('CP-ACS'!M92)</f>
        <v>228.46</v>
      </c>
      <c r="M99" s="2">
        <f>MIN('CP-DCM-ACO'!M92)</f>
        <v>111.44</v>
      </c>
      <c r="N99" s="2">
        <f>MIN('MT-CP-DCM-ACO'!M92)</f>
        <v>16.399999999999999</v>
      </c>
    </row>
    <row r="100" spans="2:14" x14ac:dyDescent="0.3">
      <c r="B100" t="s">
        <v>97</v>
      </c>
      <c r="C100" s="2">
        <f>MAX('CP-ACS'!J93)</f>
        <v>86</v>
      </c>
      <c r="D100" s="2">
        <f>MAX('CP-DCM-ACO'!J93)</f>
        <v>100</v>
      </c>
      <c r="E100" s="2">
        <f>MAX('MT-CP-DCM-ACO'!J93)</f>
        <v>100</v>
      </c>
      <c r="F100" s="2">
        <f>MIN('CP-ACS'!K93)</f>
        <v>3.23421</v>
      </c>
      <c r="G100" s="2">
        <f>MIN('CP-DCM-ACO'!K93)</f>
        <v>2.7479260000000001</v>
      </c>
      <c r="H100" s="2">
        <f>MIN('MT-CP-DCM-ACO'!K93)</f>
        <v>0.474856</v>
      </c>
      <c r="I100" s="2">
        <f>MIN('CP-ACS'!L93)</f>
        <v>7.541639</v>
      </c>
      <c r="J100" s="2">
        <f>MIN('CP-DCM-ACO'!L93)</f>
        <v>6.2058289999999996</v>
      </c>
      <c r="K100" s="2">
        <f>MIN('MT-CP-DCM-ACO'!L93)</f>
        <v>0.44130900000000001</v>
      </c>
      <c r="L100" s="2">
        <f>MIN('CP-ACS'!M93)</f>
        <v>196.74</v>
      </c>
      <c r="M100" s="2">
        <f>MIN('CP-DCM-ACO'!M93)</f>
        <v>231.2</v>
      </c>
      <c r="N100" s="2">
        <f>MIN('MT-CP-DCM-ACO'!M93)</f>
        <v>36.99</v>
      </c>
    </row>
    <row r="101" spans="2:14" x14ac:dyDescent="0.3">
      <c r="B101" t="s">
        <v>98</v>
      </c>
      <c r="C101" s="2">
        <f>MAX('CP-ACS'!J94)</f>
        <v>69</v>
      </c>
      <c r="D101" s="2">
        <f>MAX('CP-DCM-ACO'!J94)</f>
        <v>97</v>
      </c>
      <c r="E101" s="2">
        <f>MAX('MT-CP-DCM-ACO'!J94)</f>
        <v>100</v>
      </c>
      <c r="F101" s="2">
        <f>MIN('CP-ACS'!K94)</f>
        <v>4.3950699999999996</v>
      </c>
      <c r="G101" s="2">
        <f>MIN('CP-DCM-ACO'!K94)</f>
        <v>2.0953219999999999</v>
      </c>
      <c r="H101" s="2">
        <f>MIN('MT-CP-DCM-ACO'!K94)</f>
        <v>0.46463300000000002</v>
      </c>
      <c r="I101" s="2">
        <f>MIN('CP-ACS'!L94)</f>
        <v>12.187194999999999</v>
      </c>
      <c r="J101" s="2">
        <f>MIN('CP-DCM-ACO'!L94)</f>
        <v>4.3148679999999997</v>
      </c>
      <c r="K101" s="2">
        <f>MIN('MT-CP-DCM-ACO'!L94)</f>
        <v>0.53752599999999995</v>
      </c>
      <c r="L101" s="2">
        <f>MIN('CP-ACS'!M94)</f>
        <v>249.58</v>
      </c>
      <c r="M101" s="2">
        <f>MIN('CP-DCM-ACO'!M94)</f>
        <v>158.94999999999999</v>
      </c>
      <c r="N101" s="2">
        <f>MIN('MT-CP-DCM-ACO'!M94)</f>
        <v>32.44</v>
      </c>
    </row>
    <row r="102" spans="2:14" x14ac:dyDescent="0.3">
      <c r="B102" t="s">
        <v>99</v>
      </c>
      <c r="C102" s="2">
        <f>MAX('CP-ACS'!J95)</f>
        <v>77</v>
      </c>
      <c r="D102" s="2">
        <f>MAX('CP-DCM-ACO'!J95)</f>
        <v>100</v>
      </c>
      <c r="E102" s="2">
        <f>MAX('MT-CP-DCM-ACO'!J95)</f>
        <v>100</v>
      </c>
      <c r="F102" s="2">
        <f>MIN('CP-ACS'!K95)</f>
        <v>4.3819790000000003</v>
      </c>
      <c r="G102" s="2">
        <f>MIN('CP-DCM-ACO'!K95)</f>
        <v>2.6286719999999999</v>
      </c>
      <c r="H102" s="2">
        <f>MIN('MT-CP-DCM-ACO'!K95)</f>
        <v>0.53392499999999998</v>
      </c>
      <c r="I102" s="2">
        <f>MIN('CP-ACS'!L95)</f>
        <v>10.758867</v>
      </c>
      <c r="J102" s="2">
        <f>MIN('CP-DCM-ACO'!L95)</f>
        <v>5.624835</v>
      </c>
      <c r="K102" s="2">
        <f>MIN('MT-CP-DCM-ACO'!L95)</f>
        <v>0.84345099999999995</v>
      </c>
      <c r="L102" s="2">
        <f>MIN('CP-ACS'!M95)</f>
        <v>298.73</v>
      </c>
      <c r="M102" s="2">
        <f>MIN('CP-DCM-ACO'!M95)</f>
        <v>248.78</v>
      </c>
      <c r="N102" s="2">
        <f>MIN('MT-CP-DCM-ACO'!M95)</f>
        <v>45.35</v>
      </c>
    </row>
    <row r="103" spans="2:14" x14ac:dyDescent="0.3">
      <c r="B103" t="s">
        <v>100</v>
      </c>
      <c r="C103" s="2">
        <f>MAX('CP-ACS'!J96)</f>
        <v>77</v>
      </c>
      <c r="D103" s="2">
        <f>MAX('CP-DCM-ACO'!J96)</f>
        <v>100</v>
      </c>
      <c r="E103" s="2">
        <f>MAX('MT-CP-DCM-ACO'!J96)</f>
        <v>100</v>
      </c>
      <c r="F103" s="2">
        <f>MIN('CP-ACS'!K96)</f>
        <v>18.860821999999999</v>
      </c>
      <c r="G103" s="2">
        <f>MIN('CP-DCM-ACO'!K96)</f>
        <v>7.7282549999999999</v>
      </c>
      <c r="H103" s="2">
        <f>MIN('MT-CP-DCM-ACO'!K96)</f>
        <v>1.155489</v>
      </c>
      <c r="I103" s="2">
        <f>MIN('CP-ACS'!L96)</f>
        <v>24.584129000000001</v>
      </c>
      <c r="J103" s="2">
        <f>MIN('CP-DCM-ACO'!L96)</f>
        <v>11.301154</v>
      </c>
      <c r="K103" s="2">
        <f>MIN('MT-CP-DCM-ACO'!L96)</f>
        <v>2.219233</v>
      </c>
      <c r="L103" s="2">
        <f>MIN('CP-ACS'!M96)</f>
        <v>1015.56</v>
      </c>
      <c r="M103" s="2">
        <f>MIN('CP-DCM-ACO'!M96)</f>
        <v>592.29999999999995</v>
      </c>
      <c r="N103" s="2">
        <f>MIN('MT-CP-DCM-ACO'!M96)</f>
        <v>90.08</v>
      </c>
    </row>
    <row r="104" spans="2:14" x14ac:dyDescent="0.3">
      <c r="B104" t="s">
        <v>101</v>
      </c>
      <c r="C104" s="2">
        <f>MAX('CP-ACS'!J97)</f>
        <v>41</v>
      </c>
      <c r="D104" s="2">
        <f>MAX('CP-DCM-ACO'!J97)</f>
        <v>96</v>
      </c>
      <c r="E104" s="2">
        <f>MAX('MT-CP-DCM-ACO'!J97)</f>
        <v>100</v>
      </c>
      <c r="F104" s="2">
        <f>MIN('CP-ACS'!K97)</f>
        <v>6.579447</v>
      </c>
      <c r="G104" s="2">
        <f>MIN('CP-DCM-ACO'!K97)</f>
        <v>13.112176</v>
      </c>
      <c r="H104" s="2">
        <f>MIN('MT-CP-DCM-ACO'!K97)</f>
        <v>0.74156299999999997</v>
      </c>
      <c r="I104" s="2">
        <f>MIN('CP-ACS'!L97)</f>
        <v>17.291771000000001</v>
      </c>
      <c r="J104" s="2">
        <f>MIN('CP-DCM-ACO'!L97)</f>
        <v>23.082811</v>
      </c>
      <c r="K104" s="2">
        <f>MIN('MT-CP-DCM-ACO'!L97)</f>
        <v>1.4008149999999999</v>
      </c>
      <c r="L104" s="2">
        <f>MIN('CP-ACS'!M97)</f>
        <v>350.41</v>
      </c>
      <c r="M104" s="2">
        <f>MIN('CP-DCM-ACO'!M97)</f>
        <v>1003.79</v>
      </c>
      <c r="N104" s="2">
        <f>MIN('MT-CP-DCM-ACO'!M97)</f>
        <v>51.58</v>
      </c>
    </row>
    <row r="105" spans="2:14" x14ac:dyDescent="0.3">
      <c r="B105" t="s">
        <v>102</v>
      </c>
      <c r="C105" s="2">
        <f>MAX('CP-ACS'!J98)</f>
        <v>90</v>
      </c>
      <c r="D105" s="2">
        <f>MAX('CP-DCM-ACO'!J98)</f>
        <v>100</v>
      </c>
      <c r="E105" s="2">
        <f>MAX('MT-CP-DCM-ACO'!J98)</f>
        <v>100</v>
      </c>
      <c r="F105" s="2">
        <f>MIN('CP-ACS'!K98)</f>
        <v>0.73891399999999996</v>
      </c>
      <c r="G105" s="2">
        <f>MIN('CP-DCM-ACO'!K98)</f>
        <v>0.234289</v>
      </c>
      <c r="H105" s="2">
        <f>MIN('MT-CP-DCM-ACO'!K98)</f>
        <v>0.11530600000000001</v>
      </c>
      <c r="I105" s="2">
        <f>MIN('CP-ACS'!L98)</f>
        <v>4.4223249999999998</v>
      </c>
      <c r="J105" s="2">
        <f>MIN('CP-DCM-ACO'!L98)</f>
        <v>0.39363300000000001</v>
      </c>
      <c r="K105" s="2">
        <f>MIN('MT-CP-DCM-ACO'!L98)</f>
        <v>5.4537000000000002E-2</v>
      </c>
      <c r="L105" s="2">
        <f>MIN('CP-ACS'!M98)</f>
        <v>54.31</v>
      </c>
      <c r="M105" s="2">
        <f>MIN('CP-DCM-ACO'!M98)</f>
        <v>23.67</v>
      </c>
      <c r="N105" s="2">
        <f>MIN('MT-CP-DCM-ACO'!M98)</f>
        <v>10.47</v>
      </c>
    </row>
    <row r="106" spans="2:14" x14ac:dyDescent="0.3">
      <c r="B106" t="s">
        <v>103</v>
      </c>
      <c r="C106" s="2">
        <f>MAX('CP-ACS'!J99)</f>
        <v>55</v>
      </c>
      <c r="D106" s="2">
        <f>MAX('CP-DCM-ACO'!J99)</f>
        <v>100</v>
      </c>
      <c r="E106" s="2">
        <f>MAX('MT-CP-DCM-ACO'!J99)</f>
        <v>100</v>
      </c>
      <c r="F106" s="2">
        <f>MIN('CP-ACS'!K99)</f>
        <v>9.8197930000000007</v>
      </c>
      <c r="G106" s="2">
        <f>MIN('CP-DCM-ACO'!K99)</f>
        <v>8.9236749999999994</v>
      </c>
      <c r="H106" s="2">
        <f>MIN('MT-CP-DCM-ACO'!K99)</f>
        <v>1.060622</v>
      </c>
      <c r="I106" s="2">
        <f>MIN('CP-ACS'!L99)</f>
        <v>20.807158000000001</v>
      </c>
      <c r="J106" s="2">
        <f>MIN('CP-DCM-ACO'!L99)</f>
        <v>17.280155000000001</v>
      </c>
      <c r="K106" s="2">
        <f>MIN('MT-CP-DCM-ACO'!L99)</f>
        <v>2.4393579999999999</v>
      </c>
      <c r="L106" s="2">
        <f>MIN('CP-ACS'!M99)</f>
        <v>556.62</v>
      </c>
      <c r="M106" s="2">
        <f>MIN('CP-DCM-ACO'!M99)</f>
        <v>749.08</v>
      </c>
      <c r="N106" s="2">
        <f>MIN('MT-CP-DCM-ACO'!M99)</f>
        <v>80.88</v>
      </c>
    </row>
    <row r="107" spans="2:14" x14ac:dyDescent="0.3">
      <c r="B107" t="s">
        <v>104</v>
      </c>
      <c r="C107" s="2">
        <f>MAX('CP-ACS'!J100)</f>
        <v>58</v>
      </c>
      <c r="D107" s="2">
        <f>MAX('CP-DCM-ACO'!J100)</f>
        <v>92</v>
      </c>
      <c r="E107" s="2">
        <f>MAX('MT-CP-DCM-ACO'!J100)</f>
        <v>100</v>
      </c>
      <c r="F107" s="2">
        <f>MIN('CP-ACS'!K100)</f>
        <v>10.047482</v>
      </c>
      <c r="G107" s="2">
        <f>MIN('CP-DCM-ACO'!K100)</f>
        <v>9.9778909999999996</v>
      </c>
      <c r="H107" s="2">
        <f>MIN('MT-CP-DCM-ACO'!K100)</f>
        <v>1.619302</v>
      </c>
      <c r="I107" s="2">
        <f>MIN('CP-ACS'!L100)</f>
        <v>19.745674000000001</v>
      </c>
      <c r="J107" s="2">
        <f>MIN('CP-DCM-ACO'!L100)</f>
        <v>17.194230000000001</v>
      </c>
      <c r="K107" s="2">
        <f>MIN('MT-CP-DCM-ACO'!L100)</f>
        <v>2.7529469999999998</v>
      </c>
      <c r="L107" s="2">
        <f>MIN('CP-ACS'!M100)</f>
        <v>499.71</v>
      </c>
      <c r="M107" s="2">
        <f>MIN('CP-DCM-ACO'!M100)</f>
        <v>691.95</v>
      </c>
      <c r="N107" s="2">
        <f>MIN('MT-CP-DCM-ACO'!M100)</f>
        <v>101.93</v>
      </c>
    </row>
    <row r="108" spans="2:14" x14ac:dyDescent="0.3">
      <c r="B108" t="s">
        <v>105</v>
      </c>
      <c r="C108" s="2">
        <f>MAX('CP-ACS'!J101)</f>
        <v>61</v>
      </c>
      <c r="D108" s="2">
        <f>MAX('CP-DCM-ACO'!J101)</f>
        <v>100</v>
      </c>
      <c r="E108" s="2">
        <f>MAX('MT-CP-DCM-ACO'!J101)</f>
        <v>100</v>
      </c>
      <c r="F108" s="2">
        <f>MIN('CP-ACS'!K101)</f>
        <v>9.556908</v>
      </c>
      <c r="G108" s="2">
        <f>MIN('CP-DCM-ACO'!K101)</f>
        <v>3.1129639999999998</v>
      </c>
      <c r="H108" s="2">
        <f>MIN('MT-CP-DCM-ACO'!K101)</f>
        <v>0.28756500000000002</v>
      </c>
      <c r="I108" s="2">
        <f>MIN('CP-ACS'!L101)</f>
        <v>22.460146999999999</v>
      </c>
      <c r="J108" s="2">
        <f>MIN('CP-DCM-ACO'!L101)</f>
        <v>7.6911589999999999</v>
      </c>
      <c r="K108" s="2">
        <f>MIN('MT-CP-DCM-ACO'!L101)</f>
        <v>0.81890799999999997</v>
      </c>
      <c r="L108" s="2">
        <f>MIN('CP-ACS'!M101)</f>
        <v>675</v>
      </c>
      <c r="M108" s="2">
        <f>MIN('CP-DCM-ACO'!M101)</f>
        <v>275.08</v>
      </c>
      <c r="N108" s="2">
        <f>MIN('MT-CP-DCM-ACO'!M101)</f>
        <v>23.62</v>
      </c>
    </row>
  </sheetData>
  <mergeCells count="7">
    <mergeCell ref="B3:N4"/>
    <mergeCell ref="B5:N5"/>
    <mergeCell ref="B7:B8"/>
    <mergeCell ref="C7:E7"/>
    <mergeCell ref="F7:H7"/>
    <mergeCell ref="I7:K7"/>
    <mergeCell ref="L7:N7"/>
  </mergeCells>
  <conditionalFormatting sqref="C9:E108">
    <cfRule type="expression" dxfId="13" priority="13">
      <formula>C9=MAX($C9:$E9)</formula>
    </cfRule>
  </conditionalFormatting>
  <conditionalFormatting sqref="F9:H108">
    <cfRule type="expression" dxfId="12" priority="14">
      <formula>F9=MIN($F9:$H9)</formula>
    </cfRule>
  </conditionalFormatting>
  <conditionalFormatting sqref="I9:K108">
    <cfRule type="expression" dxfId="11" priority="15">
      <formula>I9=MIN($I9:$K9)</formula>
    </cfRule>
  </conditionalFormatting>
  <conditionalFormatting sqref="L9:N108">
    <cfRule type="expression" dxfId="10" priority="16">
      <formula>L9=MIN($L9:$N9)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E3C4-3E20-4775-9A7D-CFFCAB6C5BBC}">
  <dimension ref="B4:J105"/>
  <sheetViews>
    <sheetView tabSelected="1" zoomScale="113" workbookViewId="0">
      <selection activeCell="C6" sqref="C6"/>
    </sheetView>
  </sheetViews>
  <sheetFormatPr defaultRowHeight="14.4" x14ac:dyDescent="0.3"/>
  <cols>
    <col min="2" max="2" width="20.6640625" customWidth="1"/>
  </cols>
  <sheetData>
    <row r="4" spans="2:10" x14ac:dyDescent="0.3">
      <c r="B4" s="4" t="s">
        <v>1</v>
      </c>
      <c r="C4" s="4" t="s">
        <v>2</v>
      </c>
      <c r="D4" s="4"/>
      <c r="E4" s="5" t="s">
        <v>3</v>
      </c>
      <c r="F4" s="5"/>
      <c r="G4" s="7" t="s">
        <v>4</v>
      </c>
      <c r="H4" s="8"/>
      <c r="I4" s="5" t="s">
        <v>5</v>
      </c>
      <c r="J4" s="5"/>
    </row>
    <row r="5" spans="2:10" x14ac:dyDescent="0.3">
      <c r="B5" s="4"/>
      <c r="C5" s="2" t="s">
        <v>198</v>
      </c>
      <c r="D5" s="2" t="s">
        <v>199</v>
      </c>
      <c r="E5" s="2" t="s">
        <v>198</v>
      </c>
      <c r="F5" s="2" t="s">
        <v>199</v>
      </c>
      <c r="G5" s="2" t="s">
        <v>198</v>
      </c>
      <c r="H5" s="2" t="s">
        <v>199</v>
      </c>
      <c r="I5" s="2" t="s">
        <v>198</v>
      </c>
      <c r="J5" s="2" t="s">
        <v>199</v>
      </c>
    </row>
    <row r="6" spans="2:10" x14ac:dyDescent="0.3">
      <c r="B6" t="s">
        <v>6</v>
      </c>
      <c r="C6" s="2">
        <f>MAX('MT-CP-DCM-ACO'!J2)</f>
        <v>100</v>
      </c>
      <c r="D6" s="2">
        <f>MAX('50 Comm Int'!J2)</f>
        <v>100</v>
      </c>
      <c r="E6" s="2">
        <f>MIN('MT-CP-DCM-ACO'!K2)</f>
        <v>1.986067</v>
      </c>
      <c r="F6" s="2">
        <f>MIN('50 Comm Int'!K2)</f>
        <v>1.6042959999999999</v>
      </c>
      <c r="G6" s="2">
        <f>MIN('MT-CP-DCM-ACO'!L2)</f>
        <v>1.1938139999999999</v>
      </c>
      <c r="H6" s="2">
        <f>MIN('50 Comm Int'!L2)</f>
        <v>1.149751</v>
      </c>
      <c r="I6" s="2">
        <f>MIN('MT-CP-DCM-ACO'!M2)</f>
        <v>61.94</v>
      </c>
      <c r="J6" s="2">
        <f>MIN('50 Comm Int'!M2)</f>
        <v>54.93</v>
      </c>
    </row>
    <row r="7" spans="2:10" x14ac:dyDescent="0.3">
      <c r="B7" t="s">
        <v>7</v>
      </c>
      <c r="C7" s="2">
        <f>MAX('MT-CP-DCM-ACO'!J3)</f>
        <v>100</v>
      </c>
      <c r="D7" s="2">
        <f>MAX('50 Comm Int'!J3)</f>
        <v>100</v>
      </c>
      <c r="E7" s="2">
        <f>MIN('MT-CP-DCM-ACO'!K3)</f>
        <v>3.0893760000000001</v>
      </c>
      <c r="F7" s="2">
        <f>MIN('50 Comm Int'!K3)</f>
        <v>3.5661689999999999</v>
      </c>
      <c r="G7" s="2">
        <f>MIN('MT-CP-DCM-ACO'!L3)</f>
        <v>1.846924</v>
      </c>
      <c r="H7" s="2">
        <f>MIN('50 Comm Int'!L3)</f>
        <v>2.43398</v>
      </c>
      <c r="I7" s="2">
        <f>MIN('MT-CP-DCM-ACO'!M3)</f>
        <v>100.69</v>
      </c>
      <c r="J7" s="2">
        <f>MIN('50 Comm Int'!M3)</f>
        <v>119.46</v>
      </c>
    </row>
    <row r="8" spans="2:10" x14ac:dyDescent="0.3">
      <c r="B8" t="s">
        <v>8</v>
      </c>
      <c r="C8" s="2">
        <f>MAX('MT-CP-DCM-ACO'!J4)</f>
        <v>100</v>
      </c>
      <c r="D8" s="2">
        <f>MAX('50 Comm Int'!J4)</f>
        <v>100</v>
      </c>
      <c r="E8" s="2">
        <f>MIN('MT-CP-DCM-ACO'!K4)</f>
        <v>3.8590409999999999</v>
      </c>
      <c r="F8" s="2">
        <f>MIN('50 Comm Int'!K4)</f>
        <v>4.7329049999999997</v>
      </c>
      <c r="G8" s="2">
        <f>MIN('MT-CP-DCM-ACO'!L4)</f>
        <v>1.96488</v>
      </c>
      <c r="H8" s="2">
        <f>MIN('50 Comm Int'!L4)</f>
        <v>3.0609380000000002</v>
      </c>
      <c r="I8" s="2">
        <f>MIN('MT-CP-DCM-ACO'!M4)</f>
        <v>127.38</v>
      </c>
      <c r="J8" s="2">
        <f>MIN('50 Comm Int'!M4)</f>
        <v>158.69</v>
      </c>
    </row>
    <row r="9" spans="2:10" x14ac:dyDescent="0.3">
      <c r="B9" t="s">
        <v>9</v>
      </c>
      <c r="C9" s="2">
        <f>MAX('MT-CP-DCM-ACO'!J5)</f>
        <v>100</v>
      </c>
      <c r="D9" s="2">
        <f>MAX('50 Comm Int'!J5)</f>
        <v>100</v>
      </c>
      <c r="E9" s="2">
        <f>MIN('MT-CP-DCM-ACO'!K5)</f>
        <v>3.0949360000000001</v>
      </c>
      <c r="F9" s="2">
        <f>MIN('50 Comm Int'!K5)</f>
        <v>3.2697029999999998</v>
      </c>
      <c r="G9" s="2">
        <f>MIN('MT-CP-DCM-ACO'!L5)</f>
        <v>1.995576</v>
      </c>
      <c r="H9" s="2">
        <f>MIN('50 Comm Int'!L5)</f>
        <v>1.7346159999999999</v>
      </c>
      <c r="I9" s="2">
        <f>MIN('MT-CP-DCM-ACO'!M5)</f>
        <v>100.52</v>
      </c>
      <c r="J9" s="2">
        <f>MIN('50 Comm Int'!M5)</f>
        <v>107.55</v>
      </c>
    </row>
    <row r="10" spans="2:10" x14ac:dyDescent="0.3">
      <c r="B10" t="s">
        <v>10</v>
      </c>
      <c r="C10" s="2">
        <f>MAX('MT-CP-DCM-ACO'!J6)</f>
        <v>100</v>
      </c>
      <c r="D10" s="2">
        <f>MAX('50 Comm Int'!J6)</f>
        <v>100</v>
      </c>
      <c r="E10" s="2">
        <f>MIN('MT-CP-DCM-ACO'!K6)</f>
        <v>4.3534649999999999</v>
      </c>
      <c r="F10" s="2">
        <f>MIN('50 Comm Int'!K6)</f>
        <v>4.3654070000000003</v>
      </c>
      <c r="G10" s="2">
        <f>MIN('MT-CP-DCM-ACO'!L6)</f>
        <v>2.772335</v>
      </c>
      <c r="H10" s="2">
        <f>MIN('50 Comm Int'!L6)</f>
        <v>2.6232790000000001</v>
      </c>
      <c r="I10" s="2">
        <f>MIN('MT-CP-DCM-ACO'!M6)</f>
        <v>147.68</v>
      </c>
      <c r="J10" s="2">
        <f>MIN('50 Comm Int'!M6)</f>
        <v>150.05000000000001</v>
      </c>
    </row>
    <row r="11" spans="2:10" x14ac:dyDescent="0.3">
      <c r="B11" t="s">
        <v>11</v>
      </c>
      <c r="C11" s="2">
        <f>MAX('MT-CP-DCM-ACO'!J7)</f>
        <v>100</v>
      </c>
      <c r="D11" s="2">
        <f>MAX('50 Comm Int'!J7)</f>
        <v>100</v>
      </c>
      <c r="E11" s="2">
        <f>MIN('MT-CP-DCM-ACO'!K7)</f>
        <v>3.109953</v>
      </c>
      <c r="F11" s="2">
        <f>MIN('50 Comm Int'!K7)</f>
        <v>3.1183079999999999</v>
      </c>
      <c r="G11" s="2">
        <f>MIN('MT-CP-DCM-ACO'!L7)</f>
        <v>1.985949</v>
      </c>
      <c r="H11" s="2">
        <f>MIN('50 Comm Int'!L7)</f>
        <v>1.7331220000000001</v>
      </c>
      <c r="I11" s="2">
        <f>MIN('MT-CP-DCM-ACO'!M7)</f>
        <v>103.11</v>
      </c>
      <c r="J11" s="2">
        <f>MIN('50 Comm Int'!M7)</f>
        <v>104.77</v>
      </c>
    </row>
    <row r="12" spans="2:10" x14ac:dyDescent="0.3">
      <c r="B12" t="s">
        <v>12</v>
      </c>
      <c r="C12" s="2">
        <f>MAX('MT-CP-DCM-ACO'!J8)</f>
        <v>100</v>
      </c>
      <c r="D12" s="2">
        <f>MAX('50 Comm Int'!J8)</f>
        <v>100</v>
      </c>
      <c r="E12" s="2">
        <f>MIN('MT-CP-DCM-ACO'!K8)</f>
        <v>2.0619770000000002</v>
      </c>
      <c r="F12" s="2">
        <f>MIN('50 Comm Int'!K8)</f>
        <v>2.186204</v>
      </c>
      <c r="G12" s="2">
        <f>MIN('MT-CP-DCM-ACO'!L8)</f>
        <v>1.120139</v>
      </c>
      <c r="H12" s="2">
        <f>MIN('50 Comm Int'!L8)</f>
        <v>1.2978499999999999</v>
      </c>
      <c r="I12" s="2">
        <f>MIN('MT-CP-DCM-ACO'!M8)</f>
        <v>68.599999999999994</v>
      </c>
      <c r="J12" s="2">
        <f>MIN('50 Comm Int'!M8)</f>
        <v>73.650000000000006</v>
      </c>
    </row>
    <row r="13" spans="2:10" x14ac:dyDescent="0.3">
      <c r="B13" t="s">
        <v>13</v>
      </c>
      <c r="C13" s="2">
        <f>MAX('MT-CP-DCM-ACO'!J9)</f>
        <v>100</v>
      </c>
      <c r="D13" s="2">
        <f>MAX('50 Comm Int'!J9)</f>
        <v>100</v>
      </c>
      <c r="E13" s="2">
        <f>MIN('MT-CP-DCM-ACO'!K9)</f>
        <v>2.1466660000000002</v>
      </c>
      <c r="F13" s="2">
        <f>MIN('50 Comm Int'!K9)</f>
        <v>2.1845829999999999</v>
      </c>
      <c r="G13" s="2">
        <f>MIN('MT-CP-DCM-ACO'!L9)</f>
        <v>1.2047859999999999</v>
      </c>
      <c r="H13" s="2">
        <f>MIN('50 Comm Int'!L9)</f>
        <v>1.453859</v>
      </c>
      <c r="I13" s="2">
        <f>MIN('MT-CP-DCM-ACO'!M9)</f>
        <v>74.13</v>
      </c>
      <c r="J13" s="2">
        <f>MIN('50 Comm Int'!M9)</f>
        <v>76.31</v>
      </c>
    </row>
    <row r="14" spans="2:10" x14ac:dyDescent="0.3">
      <c r="B14" t="s">
        <v>14</v>
      </c>
      <c r="C14" s="2">
        <f>MAX('MT-CP-DCM-ACO'!J10)</f>
        <v>100</v>
      </c>
      <c r="D14" s="2">
        <f>MAX('50 Comm Int'!J10)</f>
        <v>100</v>
      </c>
      <c r="E14" s="2">
        <f>MIN('MT-CP-DCM-ACO'!K10)</f>
        <v>3.478186</v>
      </c>
      <c r="F14" s="2">
        <f>MIN('50 Comm Int'!K10)</f>
        <v>3.2488069999999998</v>
      </c>
      <c r="G14" s="2">
        <f>MIN('MT-CP-DCM-ACO'!L10)</f>
        <v>2.3733499999999998</v>
      </c>
      <c r="H14" s="2">
        <f>MIN('50 Comm Int'!L10)</f>
        <v>2.0877210000000002</v>
      </c>
      <c r="I14" s="2">
        <f>MIN('MT-CP-DCM-ACO'!M10)</f>
        <v>114.89</v>
      </c>
      <c r="J14" s="2">
        <f>MIN('50 Comm Int'!M10)</f>
        <v>116.52</v>
      </c>
    </row>
    <row r="15" spans="2:10" x14ac:dyDescent="0.3">
      <c r="B15" t="s">
        <v>15</v>
      </c>
      <c r="C15" s="2">
        <f>MAX('MT-CP-DCM-ACO'!J11)</f>
        <v>100</v>
      </c>
      <c r="D15" s="2">
        <f>MAX('50 Comm Int'!J11)</f>
        <v>100</v>
      </c>
      <c r="E15" s="2">
        <f>MIN('MT-CP-DCM-ACO'!K11)</f>
        <v>2.5135990000000001</v>
      </c>
      <c r="F15" s="2">
        <f>MIN('50 Comm Int'!K11)</f>
        <v>2.366139</v>
      </c>
      <c r="G15" s="2">
        <f>MIN('MT-CP-DCM-ACO'!L11)</f>
        <v>1.657896</v>
      </c>
      <c r="H15" s="2">
        <f>MIN('50 Comm Int'!L11)</f>
        <v>1.5009049999999999</v>
      </c>
      <c r="I15" s="2">
        <f>MIN('MT-CP-DCM-ACO'!M11)</f>
        <v>85.77</v>
      </c>
      <c r="J15" s="2">
        <f>MIN('50 Comm Int'!M11)</f>
        <v>81.569999999999993</v>
      </c>
    </row>
    <row r="16" spans="2:10" x14ac:dyDescent="0.3">
      <c r="B16" t="s">
        <v>16</v>
      </c>
      <c r="C16" s="2">
        <f>MAX('MT-CP-DCM-ACO'!J12)</f>
        <v>99</v>
      </c>
      <c r="D16" s="2">
        <f>MAX('50 Comm Int'!J12)</f>
        <v>97</v>
      </c>
      <c r="E16" s="2">
        <f>MIN('MT-CP-DCM-ACO'!K12)</f>
        <v>14.519876999999999</v>
      </c>
      <c r="F16" s="2">
        <f>MIN('50 Comm Int'!K12)</f>
        <v>12.675625999999999</v>
      </c>
      <c r="G16" s="2">
        <f>MIN('MT-CP-DCM-ACO'!L12)</f>
        <v>16.104476999999999</v>
      </c>
      <c r="H16" s="2">
        <f>MIN('50 Comm Int'!L12)</f>
        <v>13.845805</v>
      </c>
      <c r="I16" s="2">
        <f>MIN('MT-CP-DCM-ACO'!M12)</f>
        <v>675</v>
      </c>
      <c r="J16" s="2">
        <f>MIN('50 Comm Int'!M12)</f>
        <v>588.66</v>
      </c>
    </row>
    <row r="17" spans="2:10" x14ac:dyDescent="0.3">
      <c r="B17" t="s">
        <v>17</v>
      </c>
      <c r="C17" s="2">
        <f>MAX('MT-CP-DCM-ACO'!J13)</f>
        <v>100</v>
      </c>
      <c r="D17" s="2">
        <f>MAX('50 Comm Int'!J13)</f>
        <v>100</v>
      </c>
      <c r="E17" s="2">
        <f>MIN('MT-CP-DCM-ACO'!K13)</f>
        <v>2.800627</v>
      </c>
      <c r="F17" s="2">
        <f>MIN('50 Comm Int'!K13)</f>
        <v>2.5209389999999998</v>
      </c>
      <c r="G17" s="2">
        <f>MIN('MT-CP-DCM-ACO'!L13)</f>
        <v>2.762057</v>
      </c>
      <c r="H17" s="2">
        <f>MIN('50 Comm Int'!L13)</f>
        <v>2.2967949999999999</v>
      </c>
      <c r="I17" s="2">
        <f>MIN('MT-CP-DCM-ACO'!M13)</f>
        <v>136.41</v>
      </c>
      <c r="J17" s="2">
        <f>MIN('50 Comm Int'!M13)</f>
        <v>123.71</v>
      </c>
    </row>
    <row r="18" spans="2:10" x14ac:dyDescent="0.3">
      <c r="B18" t="s">
        <v>18</v>
      </c>
      <c r="C18" s="2">
        <f>MAX('MT-CP-DCM-ACO'!J14)</f>
        <v>100</v>
      </c>
      <c r="D18" s="2">
        <f>MAX('50 Comm Int'!J14)</f>
        <v>100</v>
      </c>
      <c r="E18" s="2">
        <f>MIN('MT-CP-DCM-ACO'!K14)</f>
        <v>0.96301199999999998</v>
      </c>
      <c r="F18" s="2">
        <f>MIN('50 Comm Int'!K14)</f>
        <v>0.91206200000000004</v>
      </c>
      <c r="G18" s="2">
        <f>MIN('MT-CP-DCM-ACO'!L14)</f>
        <v>0.63181500000000002</v>
      </c>
      <c r="H18" s="2">
        <f>MIN('50 Comm Int'!L14)</f>
        <v>0.65913999999999995</v>
      </c>
      <c r="I18" s="2">
        <f>MIN('MT-CP-DCM-ACO'!M14)</f>
        <v>45.69</v>
      </c>
      <c r="J18" s="2">
        <f>MIN('50 Comm Int'!M14)</f>
        <v>43.56</v>
      </c>
    </row>
    <row r="19" spans="2:10" x14ac:dyDescent="0.3">
      <c r="B19" t="s">
        <v>19</v>
      </c>
      <c r="C19" s="2">
        <f>MAX('MT-CP-DCM-ACO'!J15)</f>
        <v>100</v>
      </c>
      <c r="D19" s="2">
        <f>MAX('50 Comm Int'!J15)</f>
        <v>100</v>
      </c>
      <c r="E19" s="2">
        <f>MIN('MT-CP-DCM-ACO'!K15)</f>
        <v>5.2695959999999999</v>
      </c>
      <c r="F19" s="2">
        <f>MIN('50 Comm Int'!K15)</f>
        <v>5.3272930000000001</v>
      </c>
      <c r="G19" s="2">
        <f>MIN('MT-CP-DCM-ACO'!L15)</f>
        <v>4.4408159999999999</v>
      </c>
      <c r="H19" s="2">
        <f>MIN('50 Comm Int'!L15)</f>
        <v>4.9504239999999999</v>
      </c>
      <c r="I19" s="2">
        <f>MIN('MT-CP-DCM-ACO'!M15)</f>
        <v>247.26</v>
      </c>
      <c r="J19" s="2">
        <f>MIN('50 Comm Int'!M15)</f>
        <v>252.12</v>
      </c>
    </row>
    <row r="20" spans="2:10" x14ac:dyDescent="0.3">
      <c r="B20" t="s">
        <v>20</v>
      </c>
      <c r="C20" s="2">
        <f>MAX('MT-CP-DCM-ACO'!J16)</f>
        <v>100</v>
      </c>
      <c r="D20" s="2">
        <f>MAX('50 Comm Int'!J16)</f>
        <v>100</v>
      </c>
      <c r="E20" s="2">
        <f>MIN('MT-CP-DCM-ACO'!K16)</f>
        <v>2.2357770000000001</v>
      </c>
      <c r="F20" s="2">
        <f>MIN('50 Comm Int'!K16)</f>
        <v>2.2546170000000001</v>
      </c>
      <c r="G20" s="2">
        <f>MIN('MT-CP-DCM-ACO'!L16)</f>
        <v>1.5811740000000001</v>
      </c>
      <c r="H20" s="2">
        <f>MIN('50 Comm Int'!L16)</f>
        <v>1.9329419999999999</v>
      </c>
      <c r="I20" s="2">
        <f>MIN('MT-CP-DCM-ACO'!M16)</f>
        <v>103.7</v>
      </c>
      <c r="J20" s="2">
        <f>MIN('50 Comm Int'!M16)</f>
        <v>104.89</v>
      </c>
    </row>
    <row r="21" spans="2:10" x14ac:dyDescent="0.3">
      <c r="B21" t="s">
        <v>21</v>
      </c>
      <c r="C21" s="2">
        <f>MAX('MT-CP-DCM-ACO'!J17)</f>
        <v>100</v>
      </c>
      <c r="D21" s="2">
        <f>MAX('50 Comm Int'!J17)</f>
        <v>100</v>
      </c>
      <c r="E21" s="2">
        <f>MIN('MT-CP-DCM-ACO'!K17)</f>
        <v>2.6374179999999998</v>
      </c>
      <c r="F21" s="2">
        <f>MIN('50 Comm Int'!K17)</f>
        <v>2.48428</v>
      </c>
      <c r="G21" s="2">
        <f>MIN('MT-CP-DCM-ACO'!L17)</f>
        <v>1.9759739999999999</v>
      </c>
      <c r="H21" s="2">
        <f>MIN('50 Comm Int'!L17)</f>
        <v>1.982019</v>
      </c>
      <c r="I21" s="2">
        <f>MIN('MT-CP-DCM-ACO'!M17)</f>
        <v>118.94</v>
      </c>
      <c r="J21" s="2">
        <f>MIN('50 Comm Int'!M17)</f>
        <v>112.94</v>
      </c>
    </row>
    <row r="22" spans="2:10" x14ac:dyDescent="0.3">
      <c r="B22" t="s">
        <v>22</v>
      </c>
      <c r="C22" s="2">
        <f>MAX('MT-CP-DCM-ACO'!J18)</f>
        <v>100</v>
      </c>
      <c r="D22" s="2">
        <f>MAX('50 Comm Int'!J18)</f>
        <v>100</v>
      </c>
      <c r="E22" s="2">
        <f>MIN('MT-CP-DCM-ACO'!K18)</f>
        <v>1.388037</v>
      </c>
      <c r="F22" s="2">
        <f>MIN('50 Comm Int'!K18)</f>
        <v>1.5218560000000001</v>
      </c>
      <c r="G22" s="2">
        <f>MIN('MT-CP-DCM-ACO'!L18)</f>
        <v>0.99136500000000005</v>
      </c>
      <c r="H22" s="2">
        <f>MIN('50 Comm Int'!L18)</f>
        <v>1.0470390000000001</v>
      </c>
      <c r="I22" s="2">
        <f>MIN('MT-CP-DCM-ACO'!M18)</f>
        <v>64.27</v>
      </c>
      <c r="J22" s="2">
        <f>MIN('50 Comm Int'!M18)</f>
        <v>71.010000000000005</v>
      </c>
    </row>
    <row r="23" spans="2:10" x14ac:dyDescent="0.3">
      <c r="B23" t="s">
        <v>23</v>
      </c>
      <c r="C23" s="2">
        <f>MAX('MT-CP-DCM-ACO'!J19)</f>
        <v>100</v>
      </c>
      <c r="D23" s="2">
        <f>MAX('50 Comm Int'!J19)</f>
        <v>100</v>
      </c>
      <c r="E23" s="2">
        <f>MIN('MT-CP-DCM-ACO'!K19)</f>
        <v>4.6920909999999996</v>
      </c>
      <c r="F23" s="2">
        <f>MIN('50 Comm Int'!K19)</f>
        <v>4.6264010000000004</v>
      </c>
      <c r="G23" s="2">
        <f>MIN('MT-CP-DCM-ACO'!L19)</f>
        <v>3.7423799999999998</v>
      </c>
      <c r="H23" s="2">
        <f>MIN('50 Comm Int'!L19)</f>
        <v>3.5948509999999998</v>
      </c>
      <c r="I23" s="2">
        <f>MIN('MT-CP-DCM-ACO'!M19)</f>
        <v>226.49</v>
      </c>
      <c r="J23" s="2">
        <f>MIN('50 Comm Int'!M19)</f>
        <v>225.24</v>
      </c>
    </row>
    <row r="24" spans="2:10" x14ac:dyDescent="0.3">
      <c r="B24" t="s">
        <v>24</v>
      </c>
      <c r="C24" s="2">
        <f>MAX('MT-CP-DCM-ACO'!J20)</f>
        <v>100</v>
      </c>
      <c r="D24" s="2">
        <f>MAX('50 Comm Int'!J20)</f>
        <v>100</v>
      </c>
      <c r="E24" s="2">
        <f>MIN('MT-CP-DCM-ACO'!K20)</f>
        <v>3.5444079999999998</v>
      </c>
      <c r="F24" s="2">
        <f>MIN('50 Comm Int'!K20)</f>
        <v>4.39276</v>
      </c>
      <c r="G24" s="2">
        <f>MIN('MT-CP-DCM-ACO'!L20)</f>
        <v>2.802289</v>
      </c>
      <c r="H24" s="2">
        <f>MIN('50 Comm Int'!L20)</f>
        <v>7.2283299999999997</v>
      </c>
      <c r="I24" s="2">
        <f>MIN('MT-CP-DCM-ACO'!M20)</f>
        <v>167.57</v>
      </c>
      <c r="J24" s="2">
        <f>MIN('50 Comm Int'!M20)</f>
        <v>209.25</v>
      </c>
    </row>
    <row r="25" spans="2:10" x14ac:dyDescent="0.3">
      <c r="B25" t="s">
        <v>25</v>
      </c>
      <c r="C25" s="2">
        <f>MAX('MT-CP-DCM-ACO'!J21)</f>
        <v>100</v>
      </c>
      <c r="D25" s="2">
        <f>MAX('50 Comm Int'!J21)</f>
        <v>100</v>
      </c>
      <c r="E25" s="2">
        <f>MIN('MT-CP-DCM-ACO'!K21)</f>
        <v>5.640377</v>
      </c>
      <c r="F25" s="2">
        <f>MIN('50 Comm Int'!K21)</f>
        <v>5.5401280000000002</v>
      </c>
      <c r="G25" s="2">
        <f>MIN('MT-CP-DCM-ACO'!L21)</f>
        <v>4.1041150000000002</v>
      </c>
      <c r="H25" s="2">
        <f>MIN('50 Comm Int'!L21)</f>
        <v>3.7482329999999999</v>
      </c>
      <c r="I25" s="2">
        <f>MIN('MT-CP-DCM-ACO'!M21)</f>
        <v>249.53</v>
      </c>
      <c r="J25" s="2">
        <f>MIN('50 Comm Int'!M21)</f>
        <v>247.64</v>
      </c>
    </row>
    <row r="26" spans="2:10" x14ac:dyDescent="0.3">
      <c r="B26" t="s">
        <v>26</v>
      </c>
      <c r="C26" s="2">
        <f>MAX('MT-CP-DCM-ACO'!J22)</f>
        <v>100</v>
      </c>
      <c r="D26" s="2">
        <f>MAX('50 Comm Int'!J22)</f>
        <v>100</v>
      </c>
      <c r="E26" s="2">
        <f>MIN('MT-CP-DCM-ACO'!K22)</f>
        <v>3.1122030000000001</v>
      </c>
      <c r="F26" s="2">
        <f>MIN('50 Comm Int'!K22)</f>
        <v>3.3342139999999998</v>
      </c>
      <c r="G26" s="2">
        <f>MIN('MT-CP-DCM-ACO'!L22)</f>
        <v>2.0951719999999998</v>
      </c>
      <c r="H26" s="2">
        <f>MIN('50 Comm Int'!L22)</f>
        <v>2.4318230000000001</v>
      </c>
      <c r="I26" s="2">
        <f>MIN('MT-CP-DCM-ACO'!M22)</f>
        <v>136.53</v>
      </c>
      <c r="J26" s="2">
        <f>MIN('50 Comm Int'!M22)</f>
        <v>147.31</v>
      </c>
    </row>
    <row r="27" spans="2:10" x14ac:dyDescent="0.3">
      <c r="B27" t="s">
        <v>27</v>
      </c>
      <c r="C27" s="2">
        <f>MAX('MT-CP-DCM-ACO'!J23)</f>
        <v>100</v>
      </c>
      <c r="D27" s="2">
        <f>MAX('50 Comm Int'!J23)</f>
        <v>99</v>
      </c>
      <c r="E27" s="2">
        <f>MIN('MT-CP-DCM-ACO'!K23)</f>
        <v>15.377003999999999</v>
      </c>
      <c r="F27" s="2">
        <f>MIN('50 Comm Int'!K23)</f>
        <v>15.032861</v>
      </c>
      <c r="G27" s="2">
        <f>MIN('MT-CP-DCM-ACO'!L23)</f>
        <v>13.213615000000001</v>
      </c>
      <c r="H27" s="2">
        <f>MIN('50 Comm Int'!L23)</f>
        <v>13.257377</v>
      </c>
      <c r="I27" s="2">
        <f>MIN('MT-CP-DCM-ACO'!M23)</f>
        <v>724.59</v>
      </c>
      <c r="J27" s="2">
        <f>MIN('50 Comm Int'!M23)</f>
        <v>716.01</v>
      </c>
    </row>
    <row r="28" spans="2:10" x14ac:dyDescent="0.3">
      <c r="B28" t="s">
        <v>28</v>
      </c>
      <c r="C28" s="2">
        <f>MAX('MT-CP-DCM-ACO'!J24)</f>
        <v>100</v>
      </c>
      <c r="D28" s="2">
        <f>MAX('50 Comm Int'!J24)</f>
        <v>100</v>
      </c>
      <c r="E28" s="2">
        <f>MIN('MT-CP-DCM-ACO'!K24)</f>
        <v>4.0663780000000003</v>
      </c>
      <c r="F28" s="2">
        <f>MIN('50 Comm Int'!K24)</f>
        <v>4.4477019999999996</v>
      </c>
      <c r="G28" s="2">
        <f>MIN('MT-CP-DCM-ACO'!L24)</f>
        <v>4.2370210000000004</v>
      </c>
      <c r="H28" s="2">
        <f>MIN('50 Comm Int'!L24)</f>
        <v>4.201784</v>
      </c>
      <c r="I28" s="2">
        <f>MIN('MT-CP-DCM-ACO'!M24)</f>
        <v>195.34</v>
      </c>
      <c r="J28" s="2">
        <f>MIN('50 Comm Int'!M24)</f>
        <v>215.92</v>
      </c>
    </row>
    <row r="29" spans="2:10" x14ac:dyDescent="0.3">
      <c r="B29" t="s">
        <v>29</v>
      </c>
      <c r="C29" s="2">
        <f>MAX('MT-CP-DCM-ACO'!J25)</f>
        <v>100</v>
      </c>
      <c r="D29" s="2">
        <f>MAX('50 Comm Int'!J25)</f>
        <v>100</v>
      </c>
      <c r="E29" s="2">
        <f>MIN('MT-CP-DCM-ACO'!K25)</f>
        <v>3.2498640000000001</v>
      </c>
      <c r="F29" s="2">
        <f>MIN('50 Comm Int'!K25)</f>
        <v>3.2106330000000001</v>
      </c>
      <c r="G29" s="2">
        <f>MIN('MT-CP-DCM-ACO'!L25)</f>
        <v>2.8586399999999998</v>
      </c>
      <c r="H29" s="2">
        <f>MIN('50 Comm Int'!L25)</f>
        <v>2.7598340000000001</v>
      </c>
      <c r="I29" s="2">
        <f>MIN('MT-CP-DCM-ACO'!M25)</f>
        <v>148.4</v>
      </c>
      <c r="J29" s="2">
        <f>MIN('50 Comm Int'!M25)</f>
        <v>147.63999999999999</v>
      </c>
    </row>
    <row r="30" spans="2:10" x14ac:dyDescent="0.3">
      <c r="B30" t="s">
        <v>30</v>
      </c>
      <c r="C30" s="2">
        <f>MAX('MT-CP-DCM-ACO'!J26)</f>
        <v>100</v>
      </c>
      <c r="D30" s="2">
        <f>MAX('50 Comm Int'!J26)</f>
        <v>100</v>
      </c>
      <c r="E30" s="2">
        <f>MIN('MT-CP-DCM-ACO'!K26)</f>
        <v>4.5734950000000003</v>
      </c>
      <c r="F30" s="2">
        <f>MIN('50 Comm Int'!K26)</f>
        <v>4.6569029999999998</v>
      </c>
      <c r="G30" s="2">
        <f>MIN('MT-CP-DCM-ACO'!L26)</f>
        <v>3.336274</v>
      </c>
      <c r="H30" s="2">
        <f>MIN('50 Comm Int'!L26)</f>
        <v>3.6475010000000001</v>
      </c>
      <c r="I30" s="2">
        <f>MIN('MT-CP-DCM-ACO'!M26)</f>
        <v>197.64</v>
      </c>
      <c r="J30" s="2">
        <f>MIN('50 Comm Int'!M26)</f>
        <v>203.19</v>
      </c>
    </row>
    <row r="31" spans="2:10" x14ac:dyDescent="0.3">
      <c r="B31" t="s">
        <v>31</v>
      </c>
      <c r="C31" s="2">
        <f>MAX('MT-CP-DCM-ACO'!J27)</f>
        <v>100</v>
      </c>
      <c r="D31" s="2">
        <f>MAX('50 Comm Int'!J27)</f>
        <v>100</v>
      </c>
      <c r="E31" s="2">
        <f>MIN('MT-CP-DCM-ACO'!K27)</f>
        <v>1.729824</v>
      </c>
      <c r="F31" s="2">
        <f>MIN('50 Comm Int'!K27)</f>
        <v>1.8935029999999999</v>
      </c>
      <c r="G31" s="2">
        <f>MIN('MT-CP-DCM-ACO'!L27)</f>
        <v>1.199184</v>
      </c>
      <c r="H31" s="2">
        <f>MIN('50 Comm Int'!L27)</f>
        <v>1.264826</v>
      </c>
      <c r="I31" s="2">
        <f>MIN('MT-CP-DCM-ACO'!M27)</f>
        <v>76.760000000000005</v>
      </c>
      <c r="J31" s="2">
        <f>MIN('50 Comm Int'!M27)</f>
        <v>84.65</v>
      </c>
    </row>
    <row r="32" spans="2:10" x14ac:dyDescent="0.3">
      <c r="B32" t="s">
        <v>32</v>
      </c>
      <c r="C32" s="2">
        <f>MAX('MT-CP-DCM-ACO'!J28)</f>
        <v>100</v>
      </c>
      <c r="D32" s="2">
        <f>MAX('50 Comm Int'!J28)</f>
        <v>100</v>
      </c>
      <c r="E32" s="2">
        <f>MIN('MT-CP-DCM-ACO'!K28)</f>
        <v>3.1827290000000001</v>
      </c>
      <c r="F32" s="2">
        <f>MIN('50 Comm Int'!K28)</f>
        <v>3.5209869999999999</v>
      </c>
      <c r="G32" s="2">
        <f>MIN('MT-CP-DCM-ACO'!L28)</f>
        <v>2.4531679999999998</v>
      </c>
      <c r="H32" s="2">
        <f>MIN('50 Comm Int'!L28)</f>
        <v>4.2185620000000004</v>
      </c>
      <c r="I32" s="2">
        <f>MIN('MT-CP-DCM-ACO'!M28)</f>
        <v>149.91</v>
      </c>
      <c r="J32" s="2">
        <f>MIN('50 Comm Int'!M28)</f>
        <v>167.27</v>
      </c>
    </row>
    <row r="33" spans="2:10" x14ac:dyDescent="0.3">
      <c r="B33" t="s">
        <v>33</v>
      </c>
      <c r="C33" s="2">
        <f>MAX('MT-CP-DCM-ACO'!J29)</f>
        <v>100</v>
      </c>
      <c r="D33" s="2">
        <f>MAX('50 Comm Int'!J29)</f>
        <v>99</v>
      </c>
      <c r="E33" s="2">
        <f>MIN('MT-CP-DCM-ACO'!K29)</f>
        <v>8.9871400000000001</v>
      </c>
      <c r="F33" s="2">
        <f>MIN('50 Comm Int'!K29)</f>
        <v>8.6656720000000007</v>
      </c>
      <c r="G33" s="2">
        <f>MIN('MT-CP-DCM-ACO'!L29)</f>
        <v>9.259779</v>
      </c>
      <c r="H33" s="2">
        <f>MIN('50 Comm Int'!L29)</f>
        <v>10.467879</v>
      </c>
      <c r="I33" s="2">
        <f>MIN('MT-CP-DCM-ACO'!M29)</f>
        <v>427.8</v>
      </c>
      <c r="J33" s="2">
        <f>MIN('50 Comm Int'!M29)</f>
        <v>416.71</v>
      </c>
    </row>
    <row r="34" spans="2:10" x14ac:dyDescent="0.3">
      <c r="B34" t="s">
        <v>34</v>
      </c>
      <c r="C34" s="2">
        <f>MAX('MT-CP-DCM-ACO'!J30)</f>
        <v>100</v>
      </c>
      <c r="D34" s="2">
        <f>MAX('50 Comm Int'!J30)</f>
        <v>100</v>
      </c>
      <c r="E34" s="2">
        <f>MIN('MT-CP-DCM-ACO'!K30)</f>
        <v>9.9598010000000006</v>
      </c>
      <c r="F34" s="2">
        <f>MIN('50 Comm Int'!K30)</f>
        <v>8.3182120000000008</v>
      </c>
      <c r="G34" s="2">
        <f>MIN('MT-CP-DCM-ACO'!L30)</f>
        <v>10.842198</v>
      </c>
      <c r="H34" s="2">
        <f>MIN('50 Comm Int'!L30)</f>
        <v>6.4505780000000001</v>
      </c>
      <c r="I34" s="2">
        <f>MIN('MT-CP-DCM-ACO'!M30)</f>
        <v>487.13</v>
      </c>
      <c r="J34" s="2">
        <f>MIN('50 Comm Int'!M30)</f>
        <v>413.21</v>
      </c>
    </row>
    <row r="35" spans="2:10" x14ac:dyDescent="0.3">
      <c r="B35" t="s">
        <v>35</v>
      </c>
      <c r="C35" s="2">
        <f>MAX('MT-CP-DCM-ACO'!J31)</f>
        <v>100</v>
      </c>
      <c r="D35" s="2">
        <f>MAX('50 Comm Int'!J31)</f>
        <v>100</v>
      </c>
      <c r="E35" s="2">
        <f>MIN('MT-CP-DCM-ACO'!K31)</f>
        <v>4.9283029999999997</v>
      </c>
      <c r="F35" s="2">
        <f>MIN('50 Comm Int'!K31)</f>
        <v>5.3070449999999996</v>
      </c>
      <c r="G35" s="2">
        <f>MIN('MT-CP-DCM-ACO'!L31)</f>
        <v>4.7787189999999997</v>
      </c>
      <c r="H35" s="2">
        <f>MIN('50 Comm Int'!L31)</f>
        <v>5.0843069999999999</v>
      </c>
      <c r="I35" s="2">
        <f>MIN('MT-CP-DCM-ACO'!M31)</f>
        <v>221.72</v>
      </c>
      <c r="J35" s="2">
        <f>MIN('50 Comm Int'!M31)</f>
        <v>242.27</v>
      </c>
    </row>
    <row r="36" spans="2:10" x14ac:dyDescent="0.3">
      <c r="B36" t="s">
        <v>36</v>
      </c>
      <c r="C36" s="2">
        <f>MAX('MT-CP-DCM-ACO'!J32)</f>
        <v>100</v>
      </c>
      <c r="D36" s="2">
        <f>MAX('50 Comm Int'!J32)</f>
        <v>100</v>
      </c>
      <c r="E36" s="2">
        <f>MIN('MT-CP-DCM-ACO'!K32)</f>
        <v>3.8090039999999998</v>
      </c>
      <c r="F36" s="2">
        <f>MIN('50 Comm Int'!K32)</f>
        <v>3.3560370000000002</v>
      </c>
      <c r="G36" s="2">
        <f>MIN('MT-CP-DCM-ACO'!L32)</f>
        <v>3.0318900000000002</v>
      </c>
      <c r="H36" s="2">
        <f>MIN('50 Comm Int'!L32)</f>
        <v>3.1303480000000001</v>
      </c>
      <c r="I36" s="2">
        <f>MIN('MT-CP-DCM-ACO'!M32)</f>
        <v>172.06</v>
      </c>
      <c r="J36" s="2">
        <f>MIN('50 Comm Int'!M32)</f>
        <v>154.07</v>
      </c>
    </row>
    <row r="37" spans="2:10" x14ac:dyDescent="0.3">
      <c r="B37" t="s">
        <v>37</v>
      </c>
      <c r="C37" s="2">
        <f>MAX('MT-CP-DCM-ACO'!J33)</f>
        <v>100</v>
      </c>
      <c r="D37" s="2">
        <f>MAX('50 Comm Int'!J33)</f>
        <v>100</v>
      </c>
      <c r="E37" s="2">
        <f>MIN('MT-CP-DCM-ACO'!K33)</f>
        <v>4.7174690000000004</v>
      </c>
      <c r="F37" s="2">
        <f>MIN('50 Comm Int'!K33)</f>
        <v>5.540889</v>
      </c>
      <c r="G37" s="2">
        <f>MIN('MT-CP-DCM-ACO'!L33)</f>
        <v>3.56223</v>
      </c>
      <c r="H37" s="2">
        <f>MIN('50 Comm Int'!L33)</f>
        <v>5.6646749999999999</v>
      </c>
      <c r="I37" s="2">
        <f>MIN('MT-CP-DCM-ACO'!M33)</f>
        <v>227.65</v>
      </c>
      <c r="J37" s="2">
        <f>MIN('50 Comm Int'!M33)</f>
        <v>270.48</v>
      </c>
    </row>
    <row r="38" spans="2:10" x14ac:dyDescent="0.3">
      <c r="B38" t="s">
        <v>38</v>
      </c>
      <c r="C38" s="2">
        <f>MAX('MT-CP-DCM-ACO'!J34)</f>
        <v>100</v>
      </c>
      <c r="D38" s="2">
        <f>MAX('50 Comm Int'!J34)</f>
        <v>100</v>
      </c>
      <c r="E38" s="2">
        <f>MIN('MT-CP-DCM-ACO'!K34)</f>
        <v>1.541655</v>
      </c>
      <c r="F38" s="2">
        <f>MIN('50 Comm Int'!K34)</f>
        <v>1.6013230000000001</v>
      </c>
      <c r="G38" s="2">
        <f>MIN('MT-CP-DCM-ACO'!L34)</f>
        <v>1.1345860000000001</v>
      </c>
      <c r="H38" s="2">
        <f>MIN('50 Comm Int'!L34)</f>
        <v>1.2411760000000001</v>
      </c>
      <c r="I38" s="2">
        <f>MIN('MT-CP-DCM-ACO'!M34)</f>
        <v>69.92</v>
      </c>
      <c r="J38" s="2">
        <f>MIN('50 Comm Int'!M34)</f>
        <v>73.45</v>
      </c>
    </row>
    <row r="39" spans="2:10" x14ac:dyDescent="0.3">
      <c r="B39" t="s">
        <v>39</v>
      </c>
      <c r="C39" s="2">
        <f>MAX('MT-CP-DCM-ACO'!J35)</f>
        <v>99</v>
      </c>
      <c r="D39" s="2">
        <f>MAX('50 Comm Int'!J35)</f>
        <v>100</v>
      </c>
      <c r="E39" s="2">
        <f>MIN('MT-CP-DCM-ACO'!K35)</f>
        <v>2.4708809999999999</v>
      </c>
      <c r="F39" s="2">
        <f>MIN('50 Comm Int'!K35)</f>
        <v>2.5958060000000001</v>
      </c>
      <c r="G39" s="2">
        <f>MIN('MT-CP-DCM-ACO'!L35)</f>
        <v>1.964744</v>
      </c>
      <c r="H39" s="2">
        <f>MIN('50 Comm Int'!L35)</f>
        <v>2.0311439999999998</v>
      </c>
      <c r="I39" s="2">
        <f>MIN('MT-CP-DCM-ACO'!M35)</f>
        <v>113.28</v>
      </c>
      <c r="J39" s="2">
        <f>MIN('50 Comm Int'!M35)</f>
        <v>120.36</v>
      </c>
    </row>
    <row r="40" spans="2:10" x14ac:dyDescent="0.3">
      <c r="B40" t="s">
        <v>40</v>
      </c>
      <c r="C40" s="2">
        <f>MAX('MT-CP-DCM-ACO'!J36)</f>
        <v>99</v>
      </c>
      <c r="D40" s="2">
        <f>MAX('50 Comm Int'!J36)</f>
        <v>98</v>
      </c>
      <c r="E40" s="2">
        <f>MIN('MT-CP-DCM-ACO'!K36)</f>
        <v>13.059825999999999</v>
      </c>
      <c r="F40" s="2">
        <f>MIN('50 Comm Int'!K36)</f>
        <v>11.942183999999999</v>
      </c>
      <c r="G40" s="2">
        <f>MIN('MT-CP-DCM-ACO'!L36)</f>
        <v>14.786274000000001</v>
      </c>
      <c r="H40" s="2">
        <f>MIN('50 Comm Int'!L36)</f>
        <v>10.535451</v>
      </c>
      <c r="I40" s="2">
        <f>MIN('MT-CP-DCM-ACO'!M36)</f>
        <v>620.66</v>
      </c>
      <c r="J40" s="2">
        <f>MIN('50 Comm Int'!M36)</f>
        <v>582.11</v>
      </c>
    </row>
    <row r="41" spans="2:10" x14ac:dyDescent="0.3">
      <c r="B41" t="s">
        <v>41</v>
      </c>
      <c r="C41" s="2">
        <f>MAX('MT-CP-DCM-ACO'!J37)</f>
        <v>100</v>
      </c>
      <c r="D41" s="2">
        <f>MAX('50 Comm Int'!J37)</f>
        <v>100</v>
      </c>
      <c r="E41" s="2">
        <f>MIN('MT-CP-DCM-ACO'!K37)</f>
        <v>2.0174859999999999</v>
      </c>
      <c r="F41" s="2">
        <f>MIN('50 Comm Int'!K37)</f>
        <v>2.0037180000000001</v>
      </c>
      <c r="G41" s="2">
        <f>MIN('MT-CP-DCM-ACO'!L37)</f>
        <v>1.2226980000000001</v>
      </c>
      <c r="H41" s="2">
        <f>MIN('50 Comm Int'!L37)</f>
        <v>1.552902</v>
      </c>
      <c r="I41" s="2">
        <f>MIN('MT-CP-DCM-ACO'!M37)</f>
        <v>92.15</v>
      </c>
      <c r="J41" s="2">
        <f>MIN('50 Comm Int'!M37)</f>
        <v>92.98</v>
      </c>
    </row>
    <row r="42" spans="2:10" x14ac:dyDescent="0.3">
      <c r="B42" t="s">
        <v>42</v>
      </c>
      <c r="C42" s="2">
        <f>MAX('MT-CP-DCM-ACO'!J38)</f>
        <v>100</v>
      </c>
      <c r="D42" s="2">
        <f>MAX('50 Comm Int'!J38)</f>
        <v>100</v>
      </c>
      <c r="E42" s="2">
        <f>MIN('MT-CP-DCM-ACO'!K38)</f>
        <v>2.2839520000000002</v>
      </c>
      <c r="F42" s="2">
        <f>MIN('50 Comm Int'!K38)</f>
        <v>2.4893529999999999</v>
      </c>
      <c r="G42" s="2">
        <f>MIN('MT-CP-DCM-ACO'!L38)</f>
        <v>1.806724</v>
      </c>
      <c r="H42" s="2">
        <f>MIN('50 Comm Int'!L38)</f>
        <v>2.4481799999999998</v>
      </c>
      <c r="I42" s="2">
        <f>MIN('MT-CP-DCM-ACO'!M38)</f>
        <v>110.32</v>
      </c>
      <c r="J42" s="2">
        <f>MIN('50 Comm Int'!M38)</f>
        <v>122.17</v>
      </c>
    </row>
    <row r="43" spans="2:10" x14ac:dyDescent="0.3">
      <c r="B43" t="s">
        <v>43</v>
      </c>
      <c r="C43" s="2">
        <f>MAX('MT-CP-DCM-ACO'!J39)</f>
        <v>100</v>
      </c>
      <c r="D43" s="2">
        <f>MAX('50 Comm Int'!J39)</f>
        <v>100</v>
      </c>
      <c r="E43" s="2">
        <f>MIN('MT-CP-DCM-ACO'!K39)</f>
        <v>1.847245</v>
      </c>
      <c r="F43" s="2">
        <f>MIN('50 Comm Int'!K39)</f>
        <v>1.807048</v>
      </c>
      <c r="G43" s="2">
        <f>MIN('MT-CP-DCM-ACO'!L39)</f>
        <v>1.284478</v>
      </c>
      <c r="H43" s="2">
        <f>MIN('50 Comm Int'!L39)</f>
        <v>1.2717940000000001</v>
      </c>
      <c r="I43" s="2">
        <f>MIN('MT-CP-DCM-ACO'!M39)</f>
        <v>83.12</v>
      </c>
      <c r="J43" s="2">
        <f>MIN('50 Comm Int'!M39)</f>
        <v>82.69</v>
      </c>
    </row>
    <row r="44" spans="2:10" x14ac:dyDescent="0.3">
      <c r="B44" t="s">
        <v>44</v>
      </c>
      <c r="C44" s="2">
        <f>MAX('MT-CP-DCM-ACO'!J40)</f>
        <v>100</v>
      </c>
      <c r="D44" s="2">
        <f>MAX('50 Comm Int'!J40)</f>
        <v>100</v>
      </c>
      <c r="E44" s="2">
        <f>MIN('MT-CP-DCM-ACO'!K40)</f>
        <v>3.400658</v>
      </c>
      <c r="F44" s="2">
        <f>MIN('50 Comm Int'!K40)</f>
        <v>3.423813</v>
      </c>
      <c r="G44" s="2">
        <f>MIN('MT-CP-DCM-ACO'!L40)</f>
        <v>3.380706</v>
      </c>
      <c r="H44" s="2">
        <f>MIN('50 Comm Int'!L40)</f>
        <v>2.63137</v>
      </c>
      <c r="I44" s="2">
        <f>MIN('MT-CP-DCM-ACO'!M40)</f>
        <v>156.83000000000001</v>
      </c>
      <c r="J44" s="2">
        <f>MIN('50 Comm Int'!M40)</f>
        <v>160.85</v>
      </c>
    </row>
    <row r="45" spans="2:10" x14ac:dyDescent="0.3">
      <c r="B45" t="s">
        <v>45</v>
      </c>
      <c r="C45" s="2">
        <f>MAX('MT-CP-DCM-ACO'!J41)</f>
        <v>100</v>
      </c>
      <c r="D45" s="2">
        <f>MAX('50 Comm Int'!J41)</f>
        <v>100</v>
      </c>
      <c r="E45" s="2">
        <f>MIN('MT-CP-DCM-ACO'!K41)</f>
        <v>3.0432610000000002</v>
      </c>
      <c r="F45" s="2">
        <f>MIN('50 Comm Int'!K41)</f>
        <v>2.6613370000000001</v>
      </c>
      <c r="G45" s="2">
        <f>MIN('MT-CP-DCM-ACO'!L41)</f>
        <v>2.9031609999999999</v>
      </c>
      <c r="H45" s="2">
        <f>MIN('50 Comm Int'!L41)</f>
        <v>1.8660559999999999</v>
      </c>
      <c r="I45" s="2">
        <f>MIN('MT-CP-DCM-ACO'!M41)</f>
        <v>143.87</v>
      </c>
      <c r="J45" s="2">
        <f>MIN('50 Comm Int'!M41)</f>
        <v>128.09</v>
      </c>
    </row>
    <row r="46" spans="2:10" x14ac:dyDescent="0.3">
      <c r="B46" t="s">
        <v>46</v>
      </c>
      <c r="C46" s="2">
        <f>MAX('MT-CP-DCM-ACO'!J42)</f>
        <v>100</v>
      </c>
      <c r="D46" s="2">
        <f>MAX('50 Comm Int'!J42)</f>
        <v>100</v>
      </c>
      <c r="E46" s="2">
        <f>MIN('MT-CP-DCM-ACO'!K42)</f>
        <v>5.8384710000000002</v>
      </c>
      <c r="F46" s="2">
        <f>MIN('50 Comm Int'!K42)</f>
        <v>5.7075979999999999</v>
      </c>
      <c r="G46" s="2">
        <f>MIN('MT-CP-DCM-ACO'!L42)</f>
        <v>4.1521290000000004</v>
      </c>
      <c r="H46" s="2">
        <f>MIN('50 Comm Int'!L42)</f>
        <v>4.1205090000000002</v>
      </c>
      <c r="I46" s="2">
        <f>MIN('MT-CP-DCM-ACO'!M42)</f>
        <v>268.45999999999998</v>
      </c>
      <c r="J46" s="2">
        <f>MIN('50 Comm Int'!M42)</f>
        <v>267.75</v>
      </c>
    </row>
    <row r="47" spans="2:10" x14ac:dyDescent="0.3">
      <c r="B47" t="s">
        <v>47</v>
      </c>
      <c r="C47" s="2">
        <f>MAX('MT-CP-DCM-ACO'!J43)</f>
        <v>100</v>
      </c>
      <c r="D47" s="2">
        <f>MAX('50 Comm Int'!J43)</f>
        <v>100</v>
      </c>
      <c r="E47" s="2">
        <f>MIN('MT-CP-DCM-ACO'!K43)</f>
        <v>4.6674480000000003</v>
      </c>
      <c r="F47" s="2">
        <f>MIN('50 Comm Int'!K43)</f>
        <v>4.0663739999999997</v>
      </c>
      <c r="G47" s="2">
        <f>MIN('MT-CP-DCM-ACO'!L43)</f>
        <v>4.5900670000000003</v>
      </c>
      <c r="H47" s="2">
        <f>MIN('50 Comm Int'!L43)</f>
        <v>4.1141170000000002</v>
      </c>
      <c r="I47" s="2">
        <f>MIN('MT-CP-DCM-ACO'!M43)</f>
        <v>231.32</v>
      </c>
      <c r="J47" s="2">
        <f>MIN('50 Comm Int'!M43)</f>
        <v>205.35</v>
      </c>
    </row>
    <row r="48" spans="2:10" x14ac:dyDescent="0.3">
      <c r="B48" t="s">
        <v>48</v>
      </c>
      <c r="C48" s="2">
        <f>MAX('MT-CP-DCM-ACO'!J44)</f>
        <v>100</v>
      </c>
      <c r="D48" s="2">
        <f>MAX('50 Comm Int'!J44)</f>
        <v>100</v>
      </c>
      <c r="E48" s="2">
        <f>MIN('MT-CP-DCM-ACO'!K44)</f>
        <v>2.5966230000000001</v>
      </c>
      <c r="F48" s="2">
        <f>MIN('50 Comm Int'!K44)</f>
        <v>2.5166599999999999</v>
      </c>
      <c r="G48" s="2">
        <f>MIN('MT-CP-DCM-ACO'!L44)</f>
        <v>1.7664230000000001</v>
      </c>
      <c r="H48" s="2">
        <f>MIN('50 Comm Int'!L44)</f>
        <v>1.760616</v>
      </c>
      <c r="I48" s="2">
        <f>MIN('MT-CP-DCM-ACO'!M44)</f>
        <v>117.25</v>
      </c>
      <c r="J48" s="2">
        <f>MIN('50 Comm Int'!M44)</f>
        <v>115.7</v>
      </c>
    </row>
    <row r="49" spans="2:10" x14ac:dyDescent="0.3">
      <c r="B49" t="s">
        <v>49</v>
      </c>
      <c r="C49" s="2">
        <f>MAX('MT-CP-DCM-ACO'!J45)</f>
        <v>100</v>
      </c>
      <c r="D49" s="2">
        <f>MAX('50 Comm Int'!J45)</f>
        <v>100</v>
      </c>
      <c r="E49" s="2">
        <f>MIN('MT-CP-DCM-ACO'!K45)</f>
        <v>4.8345669999999998</v>
      </c>
      <c r="F49" s="2">
        <f>MIN('50 Comm Int'!K45)</f>
        <v>4.386285</v>
      </c>
      <c r="G49" s="2">
        <f>MIN('MT-CP-DCM-ACO'!L45)</f>
        <v>3.644498</v>
      </c>
      <c r="H49" s="2">
        <f>MIN('50 Comm Int'!L45)</f>
        <v>3.5940569999999998</v>
      </c>
      <c r="I49" s="2">
        <f>MIN('MT-CP-DCM-ACO'!M45)</f>
        <v>229.31</v>
      </c>
      <c r="J49" s="2">
        <f>MIN('50 Comm Int'!M45)</f>
        <v>210.81</v>
      </c>
    </row>
    <row r="50" spans="2:10" x14ac:dyDescent="0.3">
      <c r="B50" t="s">
        <v>50</v>
      </c>
      <c r="C50" s="2">
        <f>MAX('MT-CP-DCM-ACO'!J46)</f>
        <v>100</v>
      </c>
      <c r="D50" s="2">
        <f>MAX('50 Comm Int'!J46)</f>
        <v>100</v>
      </c>
      <c r="E50" s="2">
        <f>MIN('MT-CP-DCM-ACO'!K46)</f>
        <v>2.5278070000000001</v>
      </c>
      <c r="F50" s="2">
        <f>MIN('50 Comm Int'!K46)</f>
        <v>2.2835839999999998</v>
      </c>
      <c r="G50" s="2">
        <f>MIN('MT-CP-DCM-ACO'!L46)</f>
        <v>2.0008189999999999</v>
      </c>
      <c r="H50" s="2">
        <f>MIN('50 Comm Int'!L46)</f>
        <v>1.8129550000000001</v>
      </c>
      <c r="I50" s="2">
        <f>MIN('MT-CP-DCM-ACO'!M46)</f>
        <v>125.85</v>
      </c>
      <c r="J50" s="2">
        <f>MIN('50 Comm Int'!M46)</f>
        <v>116.12</v>
      </c>
    </row>
    <row r="51" spans="2:10" x14ac:dyDescent="0.3">
      <c r="B51" t="s">
        <v>51</v>
      </c>
      <c r="C51" s="2">
        <f>MAX('MT-CP-DCM-ACO'!J47)</f>
        <v>94</v>
      </c>
      <c r="D51" s="2">
        <f>MAX('50 Comm Int'!J47)</f>
        <v>94</v>
      </c>
      <c r="E51" s="2">
        <f>MIN('MT-CP-DCM-ACO'!K47)</f>
        <v>16.298977000000001</v>
      </c>
      <c r="F51" s="2">
        <f>MIN('50 Comm Int'!K47)</f>
        <v>16.270956999999999</v>
      </c>
      <c r="G51" s="2">
        <f>MIN('MT-CP-DCM-ACO'!L47)</f>
        <v>18.444782</v>
      </c>
      <c r="H51" s="2">
        <f>MIN('50 Comm Int'!L47)</f>
        <v>16.369150999999999</v>
      </c>
      <c r="I51" s="2">
        <f>MIN('MT-CP-DCM-ACO'!M47)</f>
        <v>752.19</v>
      </c>
      <c r="J51" s="2">
        <f>MIN('50 Comm Int'!M47)</f>
        <v>765.76</v>
      </c>
    </row>
    <row r="52" spans="2:10" x14ac:dyDescent="0.3">
      <c r="B52" t="s">
        <v>52</v>
      </c>
      <c r="C52" s="2">
        <f>MAX('MT-CP-DCM-ACO'!J48)</f>
        <v>100</v>
      </c>
      <c r="D52" s="2">
        <f>MAX('50 Comm Int'!J48)</f>
        <v>100</v>
      </c>
      <c r="E52" s="2">
        <f>MIN('MT-CP-DCM-ACO'!K48)</f>
        <v>3.3397160000000001</v>
      </c>
      <c r="F52" s="2">
        <f>MIN('50 Comm Int'!K48)</f>
        <v>2.9486300000000001</v>
      </c>
      <c r="G52" s="2">
        <f>MIN('MT-CP-DCM-ACO'!L48)</f>
        <v>2.257371</v>
      </c>
      <c r="H52" s="2">
        <f>MIN('50 Comm Int'!L48)</f>
        <v>2.0385629999999999</v>
      </c>
      <c r="I52" s="2">
        <f>MIN('MT-CP-DCM-ACO'!M48)</f>
        <v>151.41</v>
      </c>
      <c r="J52" s="2">
        <f>MIN('50 Comm Int'!M48)</f>
        <v>135.85</v>
      </c>
    </row>
    <row r="53" spans="2:10" x14ac:dyDescent="0.3">
      <c r="B53" t="s">
        <v>53</v>
      </c>
      <c r="C53" s="2">
        <f>MAX('MT-CP-DCM-ACO'!J49)</f>
        <v>100</v>
      </c>
      <c r="D53" s="2">
        <f>MAX('50 Comm Int'!J49)</f>
        <v>100</v>
      </c>
      <c r="E53" s="2">
        <f>MIN('MT-CP-DCM-ACO'!K49)</f>
        <v>3.2676050000000001</v>
      </c>
      <c r="F53" s="2">
        <f>MIN('50 Comm Int'!K49)</f>
        <v>2.7531490000000001</v>
      </c>
      <c r="G53" s="2">
        <f>MIN('MT-CP-DCM-ACO'!L49)</f>
        <v>2.9477099999999998</v>
      </c>
      <c r="H53" s="2">
        <f>MIN('50 Comm Int'!L49)</f>
        <v>2.0080909999999998</v>
      </c>
      <c r="I53" s="2">
        <f>MIN('MT-CP-DCM-ACO'!M49)</f>
        <v>144.88</v>
      </c>
      <c r="J53" s="2">
        <f>MIN('50 Comm Int'!M49)</f>
        <v>124.07</v>
      </c>
    </row>
    <row r="54" spans="2:10" x14ac:dyDescent="0.3">
      <c r="B54" t="s">
        <v>54</v>
      </c>
      <c r="C54" s="2">
        <f>MAX('MT-CP-DCM-ACO'!J50)</f>
        <v>100</v>
      </c>
      <c r="D54" s="2">
        <f>MAX('50 Comm Int'!J50)</f>
        <v>100</v>
      </c>
      <c r="E54" s="2">
        <f>MIN('MT-CP-DCM-ACO'!K50)</f>
        <v>3.4554879999999999</v>
      </c>
      <c r="F54" s="2">
        <f>MIN('50 Comm Int'!K50)</f>
        <v>3.6938240000000002</v>
      </c>
      <c r="G54" s="2">
        <f>MIN('MT-CP-DCM-ACO'!L50)</f>
        <v>2.7065169999999998</v>
      </c>
      <c r="H54" s="2">
        <f>MIN('50 Comm Int'!L50)</f>
        <v>3.4258869999999999</v>
      </c>
      <c r="I54" s="2">
        <f>MIN('MT-CP-DCM-ACO'!M50)</f>
        <v>155.44</v>
      </c>
      <c r="J54" s="2">
        <f>MIN('50 Comm Int'!M50)</f>
        <v>168.58</v>
      </c>
    </row>
    <row r="55" spans="2:10" x14ac:dyDescent="0.3">
      <c r="B55" t="s">
        <v>55</v>
      </c>
      <c r="C55" s="2">
        <f>MAX('MT-CP-DCM-ACO'!J51)</f>
        <v>100</v>
      </c>
      <c r="D55" s="2">
        <f>MAX('50 Comm Int'!J51)</f>
        <v>100</v>
      </c>
      <c r="E55" s="2">
        <f>MIN('MT-CP-DCM-ACO'!K51)</f>
        <v>3.2084570000000001</v>
      </c>
      <c r="F55" s="2">
        <f>MIN('50 Comm Int'!K51)</f>
        <v>4.1884880000000004</v>
      </c>
      <c r="G55" s="2">
        <f>MIN('MT-CP-DCM-ACO'!L51)</f>
        <v>3.1270180000000001</v>
      </c>
      <c r="H55" s="2">
        <f>MIN('50 Comm Int'!L51)</f>
        <v>3.6177329999999999</v>
      </c>
      <c r="I55" s="2">
        <f>MIN('MT-CP-DCM-ACO'!M51)</f>
        <v>157.85</v>
      </c>
      <c r="J55" s="2">
        <f>MIN('50 Comm Int'!M51)</f>
        <v>209.02</v>
      </c>
    </row>
    <row r="56" spans="2:10" x14ac:dyDescent="0.3">
      <c r="B56" t="s">
        <v>56</v>
      </c>
      <c r="C56" s="2">
        <f>MAX('MT-CP-DCM-ACO'!J52)</f>
        <v>100</v>
      </c>
      <c r="D56" s="2">
        <f>MAX('50 Comm Int'!J52)</f>
        <v>100</v>
      </c>
      <c r="E56" s="2">
        <f>MIN('MT-CP-DCM-ACO'!K52)</f>
        <v>2.9634420000000001</v>
      </c>
      <c r="F56" s="2">
        <f>MIN('50 Comm Int'!K52)</f>
        <v>3.3828019999999999</v>
      </c>
      <c r="G56" s="2">
        <f>MIN('MT-CP-DCM-ACO'!L52)</f>
        <v>2.4535140000000002</v>
      </c>
      <c r="H56" s="2">
        <f>MIN('50 Comm Int'!L52)</f>
        <v>3.4597889999999998</v>
      </c>
      <c r="I56" s="2">
        <f>MIN('MT-CP-DCM-ACO'!M52)</f>
        <v>133.30000000000001</v>
      </c>
      <c r="J56" s="2">
        <f>MIN('50 Comm Int'!M52)</f>
        <v>153.21</v>
      </c>
    </row>
    <row r="57" spans="2:10" x14ac:dyDescent="0.3">
      <c r="B57" t="s">
        <v>57</v>
      </c>
      <c r="C57" s="2">
        <f>MAX('MT-CP-DCM-ACO'!J53)</f>
        <v>100</v>
      </c>
      <c r="D57" s="2">
        <f>MAX('50 Comm Int'!J53)</f>
        <v>100</v>
      </c>
      <c r="E57" s="2">
        <f>MIN('MT-CP-DCM-ACO'!K53)</f>
        <v>2.3352560000000002</v>
      </c>
      <c r="F57" s="2">
        <f>MIN('50 Comm Int'!K53)</f>
        <v>2.2972079999999999</v>
      </c>
      <c r="G57" s="2">
        <f>MIN('MT-CP-DCM-ACO'!L53)</f>
        <v>1.750613</v>
      </c>
      <c r="H57" s="2">
        <f>MIN('50 Comm Int'!L53)</f>
        <v>1.656153</v>
      </c>
      <c r="I57" s="2">
        <f>MIN('MT-CP-DCM-ACO'!M53)</f>
        <v>101.7</v>
      </c>
      <c r="J57" s="2">
        <f>MIN('50 Comm Int'!M53)</f>
        <v>101.09</v>
      </c>
    </row>
    <row r="58" spans="2:10" x14ac:dyDescent="0.3">
      <c r="B58" t="s">
        <v>58</v>
      </c>
      <c r="C58" s="2">
        <f>MAX('MT-CP-DCM-ACO'!J54)</f>
        <v>100</v>
      </c>
      <c r="D58" s="2">
        <f>MAX('50 Comm Int'!J54)</f>
        <v>100</v>
      </c>
      <c r="E58" s="2">
        <f>MIN('MT-CP-DCM-ACO'!K54)</f>
        <v>6.4453480000000001</v>
      </c>
      <c r="F58" s="2">
        <f>MIN('50 Comm Int'!K54)</f>
        <v>7.0375310000000004</v>
      </c>
      <c r="G58" s="2">
        <f>MIN('MT-CP-DCM-ACO'!L54)</f>
        <v>5.2865330000000004</v>
      </c>
      <c r="H58" s="2">
        <f>MIN('50 Comm Int'!L54)</f>
        <v>5.5945299999999998</v>
      </c>
      <c r="I58" s="2">
        <f>MIN('MT-CP-DCM-ACO'!M54)</f>
        <v>288.33999999999997</v>
      </c>
      <c r="J58" s="2">
        <f>MIN('50 Comm Int'!M54)</f>
        <v>318.14</v>
      </c>
    </row>
    <row r="59" spans="2:10" x14ac:dyDescent="0.3">
      <c r="B59" t="s">
        <v>59</v>
      </c>
      <c r="C59" s="2">
        <f>MAX('MT-CP-DCM-ACO'!J55)</f>
        <v>100</v>
      </c>
      <c r="D59" s="2">
        <f>MAX('50 Comm Int'!J55)</f>
        <v>100</v>
      </c>
      <c r="E59" s="2">
        <f>MIN('MT-CP-DCM-ACO'!K55)</f>
        <v>1.245574</v>
      </c>
      <c r="F59" s="2">
        <f>MIN('50 Comm Int'!K55)</f>
        <v>1.3433660000000001</v>
      </c>
      <c r="G59" s="2">
        <f>MIN('MT-CP-DCM-ACO'!L55)</f>
        <v>0.98894700000000002</v>
      </c>
      <c r="H59" s="2">
        <f>MIN('50 Comm Int'!L55)</f>
        <v>1.109634</v>
      </c>
      <c r="I59" s="2">
        <f>MIN('MT-CP-DCM-ACO'!M55)</f>
        <v>58.62</v>
      </c>
      <c r="J59" s="2">
        <f>MIN('50 Comm Int'!M55)</f>
        <v>64.099999999999994</v>
      </c>
    </row>
    <row r="60" spans="2:10" x14ac:dyDescent="0.3">
      <c r="B60" t="s">
        <v>60</v>
      </c>
      <c r="C60" s="2">
        <f>MAX('MT-CP-DCM-ACO'!J56)</f>
        <v>100</v>
      </c>
      <c r="D60" s="2">
        <f>MAX('50 Comm Int'!J56)</f>
        <v>100</v>
      </c>
      <c r="E60" s="2">
        <f>MIN('MT-CP-DCM-ACO'!K56)</f>
        <v>2.4907430000000002</v>
      </c>
      <c r="F60" s="2">
        <f>MIN('50 Comm Int'!K56)</f>
        <v>2.2588499999999998</v>
      </c>
      <c r="G60" s="2">
        <f>MIN('MT-CP-DCM-ACO'!L56)</f>
        <v>2.127275</v>
      </c>
      <c r="H60" s="2">
        <f>MIN('50 Comm Int'!L56)</f>
        <v>1.991109</v>
      </c>
      <c r="I60" s="2">
        <f>MIN('MT-CP-DCM-ACO'!M56)</f>
        <v>111.41</v>
      </c>
      <c r="J60" s="2">
        <f>MIN('50 Comm Int'!M56)</f>
        <v>102.42</v>
      </c>
    </row>
    <row r="61" spans="2:10" x14ac:dyDescent="0.3">
      <c r="B61" t="s">
        <v>61</v>
      </c>
      <c r="C61" s="2">
        <f>MAX('MT-CP-DCM-ACO'!J57)</f>
        <v>100</v>
      </c>
      <c r="D61" s="2">
        <f>MAX('50 Comm Int'!J57)</f>
        <v>100</v>
      </c>
      <c r="E61" s="2">
        <f>MIN('MT-CP-DCM-ACO'!K57)</f>
        <v>1.729155</v>
      </c>
      <c r="F61" s="2">
        <f>MIN('50 Comm Int'!K57)</f>
        <v>1.979514</v>
      </c>
      <c r="G61" s="2">
        <f>MIN('MT-CP-DCM-ACO'!L57)</f>
        <v>1.325472</v>
      </c>
      <c r="H61" s="2">
        <f>MIN('50 Comm Int'!L57)</f>
        <v>1.4095340000000001</v>
      </c>
      <c r="I61" s="2">
        <f>MIN('MT-CP-DCM-ACO'!M57)</f>
        <v>80.709999999999994</v>
      </c>
      <c r="J61" s="2">
        <f>MIN('50 Comm Int'!M57)</f>
        <v>93.44</v>
      </c>
    </row>
    <row r="62" spans="2:10" x14ac:dyDescent="0.3">
      <c r="B62" t="s">
        <v>62</v>
      </c>
      <c r="C62" s="2">
        <f>MAX('MT-CP-DCM-ACO'!J58)</f>
        <v>100</v>
      </c>
      <c r="D62" s="2">
        <f>MAX('50 Comm Int'!J58)</f>
        <v>100</v>
      </c>
      <c r="E62" s="2">
        <f>MIN('MT-CP-DCM-ACO'!K58)</f>
        <v>13.179262</v>
      </c>
      <c r="F62" s="2">
        <f>MIN('50 Comm Int'!K58)</f>
        <v>12.290132</v>
      </c>
      <c r="G62" s="2">
        <f>MIN('MT-CP-DCM-ACO'!L58)</f>
        <v>14.026173</v>
      </c>
      <c r="H62" s="2">
        <f>MIN('50 Comm Int'!L58)</f>
        <v>13.780607</v>
      </c>
      <c r="I62" s="2">
        <f>MIN('MT-CP-DCM-ACO'!M58)</f>
        <v>590.9</v>
      </c>
      <c r="J62" s="2">
        <f>MIN('50 Comm Int'!M58)</f>
        <v>557.88</v>
      </c>
    </row>
    <row r="63" spans="2:10" x14ac:dyDescent="0.3">
      <c r="B63" t="s">
        <v>63</v>
      </c>
      <c r="C63" s="2">
        <f>MAX('MT-CP-DCM-ACO'!J59)</f>
        <v>100</v>
      </c>
      <c r="D63" s="2">
        <f>MAX('50 Comm Int'!J59)</f>
        <v>100</v>
      </c>
      <c r="E63" s="2">
        <f>MIN('MT-CP-DCM-ACO'!K59)</f>
        <v>1.9432039999999999</v>
      </c>
      <c r="F63" s="2">
        <f>MIN('50 Comm Int'!K59)</f>
        <v>2.2999429999999998</v>
      </c>
      <c r="G63" s="2">
        <f>MIN('MT-CP-DCM-ACO'!L59)</f>
        <v>1.4742420000000001</v>
      </c>
      <c r="H63" s="2">
        <f>MIN('50 Comm Int'!L59)</f>
        <v>1.8636779999999999</v>
      </c>
      <c r="I63" s="2">
        <f>MIN('MT-CP-DCM-ACO'!M59)</f>
        <v>89.23</v>
      </c>
      <c r="J63" s="2">
        <f>MIN('50 Comm Int'!M59)</f>
        <v>105.79</v>
      </c>
    </row>
    <row r="64" spans="2:10" x14ac:dyDescent="0.3">
      <c r="B64" t="s">
        <v>64</v>
      </c>
      <c r="C64" s="2">
        <f>MAX('MT-CP-DCM-ACO'!J60)</f>
        <v>100</v>
      </c>
      <c r="D64" s="2">
        <f>MAX('50 Comm Int'!J60)</f>
        <v>100</v>
      </c>
      <c r="E64" s="2">
        <f>MIN('MT-CP-DCM-ACO'!K60)</f>
        <v>6.5231719999999997</v>
      </c>
      <c r="F64" s="2">
        <f>MIN('50 Comm Int'!K60)</f>
        <v>6.1383960000000002</v>
      </c>
      <c r="G64" s="2">
        <f>MIN('MT-CP-DCM-ACO'!L60)</f>
        <v>6.0595090000000003</v>
      </c>
      <c r="H64" s="2">
        <f>MIN('50 Comm Int'!L60)</f>
        <v>6.6027889999999996</v>
      </c>
      <c r="I64" s="2">
        <f>MIN('MT-CP-DCM-ACO'!M60)</f>
        <v>312.54000000000002</v>
      </c>
      <c r="J64" s="2">
        <f>MIN('50 Comm Int'!M60)</f>
        <v>297.31</v>
      </c>
    </row>
    <row r="65" spans="2:10" x14ac:dyDescent="0.3">
      <c r="B65" t="s">
        <v>65</v>
      </c>
      <c r="C65" s="2">
        <f>MAX('MT-CP-DCM-ACO'!J61)</f>
        <v>100</v>
      </c>
      <c r="D65" s="2">
        <f>MAX('50 Comm Int'!J61)</f>
        <v>100</v>
      </c>
      <c r="E65" s="2">
        <f>MIN('MT-CP-DCM-ACO'!K61)</f>
        <v>1.488159</v>
      </c>
      <c r="F65" s="2">
        <f>MIN('50 Comm Int'!K61)</f>
        <v>1.0922289999999999</v>
      </c>
      <c r="G65" s="2">
        <f>MIN('MT-CP-DCM-ACO'!L61)</f>
        <v>1.036651</v>
      </c>
      <c r="H65" s="2">
        <f>MIN('50 Comm Int'!L61)</f>
        <v>0.78785000000000005</v>
      </c>
      <c r="I65" s="2">
        <f>MIN('MT-CP-DCM-ACO'!M61)</f>
        <v>67.709999999999994</v>
      </c>
      <c r="J65" s="2">
        <f>MIN('50 Comm Int'!M61)</f>
        <v>50.51</v>
      </c>
    </row>
    <row r="66" spans="2:10" x14ac:dyDescent="0.3">
      <c r="B66" t="s">
        <v>66</v>
      </c>
      <c r="C66" s="2">
        <f>MAX('MT-CP-DCM-ACO'!J62)</f>
        <v>100</v>
      </c>
      <c r="D66" s="2">
        <f>MAX('50 Comm Int'!J62)</f>
        <v>100</v>
      </c>
      <c r="E66" s="2">
        <f>MIN('MT-CP-DCM-ACO'!K62)</f>
        <v>2.387632</v>
      </c>
      <c r="F66" s="2">
        <f>MIN('50 Comm Int'!K62)</f>
        <v>2.628949</v>
      </c>
      <c r="G66" s="2">
        <f>MIN('MT-CP-DCM-ACO'!L62)</f>
        <v>2.3618480000000002</v>
      </c>
      <c r="H66" s="2">
        <f>MIN('50 Comm Int'!L62)</f>
        <v>2.6501929999999998</v>
      </c>
      <c r="I66" s="2">
        <f>MIN('MT-CP-DCM-ACO'!M62)</f>
        <v>112.74</v>
      </c>
      <c r="J66" s="2">
        <f>MIN('50 Comm Int'!M62)</f>
        <v>125.53</v>
      </c>
    </row>
    <row r="67" spans="2:10" x14ac:dyDescent="0.3">
      <c r="B67" t="s">
        <v>67</v>
      </c>
      <c r="C67" s="2">
        <f>MAX('MT-CP-DCM-ACO'!J63)</f>
        <v>100</v>
      </c>
      <c r="D67" s="2">
        <f>MAX('50 Comm Int'!J63)</f>
        <v>100</v>
      </c>
      <c r="E67" s="2">
        <f>MIN('MT-CP-DCM-ACO'!K63)</f>
        <v>5.0716650000000003</v>
      </c>
      <c r="F67" s="2">
        <f>MIN('50 Comm Int'!K63)</f>
        <v>4.7825049999999996</v>
      </c>
      <c r="G67" s="2">
        <f>MIN('MT-CP-DCM-ACO'!L63)</f>
        <v>4.5542389999999999</v>
      </c>
      <c r="H67" s="2">
        <f>MIN('50 Comm Int'!L63)</f>
        <v>4.5867789999999999</v>
      </c>
      <c r="I67" s="2">
        <f>MIN('MT-CP-DCM-ACO'!M63)</f>
        <v>233.87</v>
      </c>
      <c r="J67" s="2">
        <f>MIN('50 Comm Int'!M63)</f>
        <v>223.11</v>
      </c>
    </row>
    <row r="68" spans="2:10" x14ac:dyDescent="0.3">
      <c r="B68" t="s">
        <v>68</v>
      </c>
      <c r="C68" s="2">
        <f>MAX('MT-CP-DCM-ACO'!J64)</f>
        <v>100</v>
      </c>
      <c r="D68" s="2">
        <f>MAX('50 Comm Int'!J64)</f>
        <v>100</v>
      </c>
      <c r="E68" s="2">
        <f>MIN('MT-CP-DCM-ACO'!K64)</f>
        <v>4.8896499999999996</v>
      </c>
      <c r="F68" s="2">
        <f>MIN('50 Comm Int'!K64)</f>
        <v>5.007358</v>
      </c>
      <c r="G68" s="2">
        <f>MIN('MT-CP-DCM-ACO'!L64)</f>
        <v>3.7171780000000001</v>
      </c>
      <c r="H68" s="2">
        <f>MIN('50 Comm Int'!L64)</f>
        <v>4.2399089999999999</v>
      </c>
      <c r="I68" s="2">
        <f>MIN('MT-CP-DCM-ACO'!M64)</f>
        <v>212.45</v>
      </c>
      <c r="J68" s="2">
        <f>MIN('50 Comm Int'!M64)</f>
        <v>219.86</v>
      </c>
    </row>
    <row r="69" spans="2:10" x14ac:dyDescent="0.3">
      <c r="B69" t="s">
        <v>69</v>
      </c>
      <c r="C69" s="2">
        <f>MAX('MT-CP-DCM-ACO'!J65)</f>
        <v>100</v>
      </c>
      <c r="D69" s="2">
        <f>MAX('50 Comm Int'!J65)</f>
        <v>100</v>
      </c>
      <c r="E69" s="2">
        <f>MIN('MT-CP-DCM-ACO'!K65)</f>
        <v>1.917022</v>
      </c>
      <c r="F69" s="2">
        <f>MIN('50 Comm Int'!K65)</f>
        <v>1.9777610000000001</v>
      </c>
      <c r="G69" s="2">
        <f>MIN('MT-CP-DCM-ACO'!L65)</f>
        <v>1.3648020000000001</v>
      </c>
      <c r="H69" s="2">
        <f>MIN('50 Comm Int'!L65)</f>
        <v>1.3155490000000001</v>
      </c>
      <c r="I69" s="2">
        <f>MIN('MT-CP-DCM-ACO'!M65)</f>
        <v>87.33</v>
      </c>
      <c r="J69" s="2">
        <f>MIN('50 Comm Int'!M65)</f>
        <v>91.13</v>
      </c>
    </row>
    <row r="70" spans="2:10" x14ac:dyDescent="0.3">
      <c r="B70" t="s">
        <v>70</v>
      </c>
      <c r="C70" s="2">
        <f>MAX('MT-CP-DCM-ACO'!J66)</f>
        <v>100</v>
      </c>
      <c r="D70" s="2">
        <f>MAX('50 Comm Int'!J66)</f>
        <v>100</v>
      </c>
      <c r="E70" s="2">
        <f>MIN('MT-CP-DCM-ACO'!K66)</f>
        <v>1.6681060000000001</v>
      </c>
      <c r="F70" s="2">
        <f>MIN('50 Comm Int'!K66)</f>
        <v>1.4730000000000001</v>
      </c>
      <c r="G70" s="2">
        <f>MIN('MT-CP-DCM-ACO'!L66)</f>
        <v>1.427465</v>
      </c>
      <c r="H70" s="2">
        <f>MIN('50 Comm Int'!L66)</f>
        <v>1.171136</v>
      </c>
      <c r="I70" s="2">
        <f>MIN('MT-CP-DCM-ACO'!M66)</f>
        <v>79.959999999999994</v>
      </c>
      <c r="J70" s="2">
        <f>MIN('50 Comm Int'!M66)</f>
        <v>71.319999999999993</v>
      </c>
    </row>
    <row r="71" spans="2:10" x14ac:dyDescent="0.3">
      <c r="B71" t="s">
        <v>71</v>
      </c>
      <c r="C71" s="2">
        <f>MAX('MT-CP-DCM-ACO'!J67)</f>
        <v>100</v>
      </c>
      <c r="D71" s="2">
        <f>MAX('50 Comm Int'!J67)</f>
        <v>100</v>
      </c>
      <c r="E71" s="2">
        <f>MIN('MT-CP-DCM-ACO'!K67)</f>
        <v>5.604781</v>
      </c>
      <c r="F71" s="2">
        <f>MIN('50 Comm Int'!K67)</f>
        <v>6.3275839999999999</v>
      </c>
      <c r="G71" s="2">
        <f>MIN('MT-CP-DCM-ACO'!L67)</f>
        <v>4.9118620000000002</v>
      </c>
      <c r="H71" s="2">
        <f>MIN('50 Comm Int'!L67)</f>
        <v>5.7448870000000003</v>
      </c>
      <c r="I71" s="2">
        <f>MIN('MT-CP-DCM-ACO'!M67)</f>
        <v>247.71</v>
      </c>
      <c r="J71" s="2">
        <f>MIN('50 Comm Int'!M67)</f>
        <v>283.19</v>
      </c>
    </row>
    <row r="72" spans="2:10" x14ac:dyDescent="0.3">
      <c r="B72" t="s">
        <v>72</v>
      </c>
      <c r="C72" s="2">
        <f>MAX('MT-CP-DCM-ACO'!J68)</f>
        <v>100</v>
      </c>
      <c r="D72" s="2">
        <f>MAX('50 Comm Int'!J68)</f>
        <v>100</v>
      </c>
      <c r="E72" s="2">
        <f>MIN('MT-CP-DCM-ACO'!K68)</f>
        <v>3.3642530000000002</v>
      </c>
      <c r="F72" s="2">
        <f>MIN('50 Comm Int'!K68)</f>
        <v>3.368709</v>
      </c>
      <c r="G72" s="2">
        <f>MIN('MT-CP-DCM-ACO'!L68)</f>
        <v>2.405408</v>
      </c>
      <c r="H72" s="2">
        <f>MIN('50 Comm Int'!L68)</f>
        <v>2.6802220000000001</v>
      </c>
      <c r="I72" s="2">
        <f>MIN('MT-CP-DCM-ACO'!M68)</f>
        <v>150.75</v>
      </c>
      <c r="J72" s="2">
        <f>MIN('50 Comm Int'!M68)</f>
        <v>152.84</v>
      </c>
    </row>
    <row r="73" spans="2:10" x14ac:dyDescent="0.3">
      <c r="B73" t="s">
        <v>73</v>
      </c>
      <c r="C73" s="2">
        <f>MAX('MT-CP-DCM-ACO'!J69)</f>
        <v>100</v>
      </c>
      <c r="D73" s="2">
        <f>MAX('50 Comm Int'!J69)</f>
        <v>100</v>
      </c>
      <c r="E73" s="2">
        <f>MIN('MT-CP-DCM-ACO'!K69)</f>
        <v>1.2439899999999999</v>
      </c>
      <c r="F73" s="2">
        <f>MIN('50 Comm Int'!K69)</f>
        <v>1.4803120000000001</v>
      </c>
      <c r="G73" s="2">
        <f>MIN('MT-CP-DCM-ACO'!L69)</f>
        <v>0.82345900000000005</v>
      </c>
      <c r="H73" s="2">
        <f>MIN('50 Comm Int'!L69)</f>
        <v>1.4305239999999999</v>
      </c>
      <c r="I73" s="2">
        <f>MIN('MT-CP-DCM-ACO'!M69)</f>
        <v>60.29</v>
      </c>
      <c r="J73" s="2">
        <f>MIN('50 Comm Int'!M69)</f>
        <v>72.3</v>
      </c>
    </row>
    <row r="74" spans="2:10" x14ac:dyDescent="0.3">
      <c r="B74" t="s">
        <v>74</v>
      </c>
      <c r="C74" s="2">
        <f>MAX('MT-CP-DCM-ACO'!J70)</f>
        <v>100</v>
      </c>
      <c r="D74" s="2">
        <f>MAX('50 Comm Int'!J70)</f>
        <v>100</v>
      </c>
      <c r="E74" s="2">
        <f>MIN('MT-CP-DCM-ACO'!K70)</f>
        <v>6.0317340000000002</v>
      </c>
      <c r="F74" s="2">
        <f>MIN('50 Comm Int'!K70)</f>
        <v>7.4273709999999999</v>
      </c>
      <c r="G74" s="2">
        <f>MIN('MT-CP-DCM-ACO'!L70)</f>
        <v>4.2816749999999999</v>
      </c>
      <c r="H74" s="2">
        <f>MIN('50 Comm Int'!L70)</f>
        <v>10.106866999999999</v>
      </c>
      <c r="I74" s="2">
        <f>MIN('MT-CP-DCM-ACO'!M70)</f>
        <v>277.41000000000003</v>
      </c>
      <c r="J74" s="2">
        <f>MIN('50 Comm Int'!M70)</f>
        <v>344.76</v>
      </c>
    </row>
    <row r="75" spans="2:10" x14ac:dyDescent="0.3">
      <c r="B75" t="s">
        <v>75</v>
      </c>
      <c r="C75" s="2">
        <f>MAX('MT-CP-DCM-ACO'!J71)</f>
        <v>99</v>
      </c>
      <c r="D75" s="2">
        <f>MAX('50 Comm Int'!J71)</f>
        <v>97</v>
      </c>
      <c r="E75" s="2">
        <f>MIN('MT-CP-DCM-ACO'!K71)</f>
        <v>10.537864000000001</v>
      </c>
      <c r="F75" s="2">
        <f>MIN('50 Comm Int'!K71)</f>
        <v>9.1415150000000001</v>
      </c>
      <c r="G75" s="2">
        <f>MIN('MT-CP-DCM-ACO'!L71)</f>
        <v>14.702876</v>
      </c>
      <c r="H75" s="2">
        <f>MIN('50 Comm Int'!L71)</f>
        <v>9.5056539999999998</v>
      </c>
      <c r="I75" s="2">
        <f>MIN('MT-CP-DCM-ACO'!M71)</f>
        <v>487.34</v>
      </c>
      <c r="J75" s="2">
        <f>MIN('50 Comm Int'!M71)</f>
        <v>429.52</v>
      </c>
    </row>
    <row r="76" spans="2:10" x14ac:dyDescent="0.3">
      <c r="B76" t="s">
        <v>76</v>
      </c>
      <c r="C76" s="2">
        <f>MAX('MT-CP-DCM-ACO'!J72)</f>
        <v>100</v>
      </c>
      <c r="D76" s="2">
        <f>MAX('50 Comm Int'!J72)</f>
        <v>100</v>
      </c>
      <c r="E76" s="2">
        <f>MIN('MT-CP-DCM-ACO'!K72)</f>
        <v>1.6675469999999999</v>
      </c>
      <c r="F76" s="2">
        <f>MIN('50 Comm Int'!K72)</f>
        <v>1.730888</v>
      </c>
      <c r="G76" s="2">
        <f>MIN('MT-CP-DCM-ACO'!L72)</f>
        <v>1.4379440000000001</v>
      </c>
      <c r="H76" s="2">
        <f>MIN('50 Comm Int'!L72)</f>
        <v>1.150414</v>
      </c>
      <c r="I76" s="2">
        <f>MIN('MT-CP-DCM-ACO'!M72)</f>
        <v>73.599999999999994</v>
      </c>
      <c r="J76" s="2">
        <f>MIN('50 Comm Int'!M72)</f>
        <v>77.209999999999994</v>
      </c>
    </row>
    <row r="77" spans="2:10" x14ac:dyDescent="0.3">
      <c r="B77" t="s">
        <v>77</v>
      </c>
      <c r="C77" s="2">
        <f>MAX('MT-CP-DCM-ACO'!J73)</f>
        <v>72</v>
      </c>
      <c r="D77" s="2">
        <f>MAX('50 Comm Int'!J73)</f>
        <v>69</v>
      </c>
      <c r="E77" s="2">
        <f>MIN('MT-CP-DCM-ACO'!K73)</f>
        <v>29.498277999999999</v>
      </c>
      <c r="F77" s="2">
        <f>MIN('50 Comm Int'!K73)</f>
        <v>37.944225000000003</v>
      </c>
      <c r="G77" s="2">
        <f>MIN('MT-CP-DCM-ACO'!L73)</f>
        <v>30.333314999999999</v>
      </c>
      <c r="H77" s="2">
        <f>MIN('50 Comm Int'!L73)</f>
        <v>35.951247000000002</v>
      </c>
      <c r="I77" s="2">
        <f>MIN('MT-CP-DCM-ACO'!M73)</f>
        <v>1443.42</v>
      </c>
      <c r="J77" s="2">
        <f>MIN('50 Comm Int'!M73)</f>
        <v>1834.9</v>
      </c>
    </row>
    <row r="78" spans="2:10" x14ac:dyDescent="0.3">
      <c r="B78" t="s">
        <v>78</v>
      </c>
      <c r="C78" s="2">
        <f>MAX('MT-CP-DCM-ACO'!J74)</f>
        <v>100</v>
      </c>
      <c r="D78" s="2">
        <f>MAX('50 Comm Int'!J74)</f>
        <v>100</v>
      </c>
      <c r="E78" s="2">
        <f>MIN('MT-CP-DCM-ACO'!K74)</f>
        <v>2.4772240000000001</v>
      </c>
      <c r="F78" s="2">
        <f>MIN('50 Comm Int'!K74)</f>
        <v>2.206629</v>
      </c>
      <c r="G78" s="2">
        <f>MIN('MT-CP-DCM-ACO'!L74)</f>
        <v>2.2985549999999999</v>
      </c>
      <c r="H78" s="2">
        <f>MIN('50 Comm Int'!L74)</f>
        <v>1.433843</v>
      </c>
      <c r="I78" s="2">
        <f>MIN('MT-CP-DCM-ACO'!M74)</f>
        <v>116.53</v>
      </c>
      <c r="J78" s="2">
        <f>MIN('50 Comm Int'!M74)</f>
        <v>108.15</v>
      </c>
    </row>
    <row r="79" spans="2:10" x14ac:dyDescent="0.3">
      <c r="B79" t="s">
        <v>79</v>
      </c>
      <c r="C79" s="2">
        <f>MAX('MT-CP-DCM-ACO'!J75)</f>
        <v>100</v>
      </c>
      <c r="D79" s="2">
        <f>MAX('50 Comm Int'!J75)</f>
        <v>100</v>
      </c>
      <c r="E79" s="2">
        <f>MIN('MT-CP-DCM-ACO'!K75)</f>
        <v>0.34357100000000002</v>
      </c>
      <c r="F79" s="2">
        <f>MIN('50 Comm Int'!K75)</f>
        <v>0.31454199999999999</v>
      </c>
      <c r="G79" s="2">
        <f>MIN('MT-CP-DCM-ACO'!L75)</f>
        <v>0.63483199999999995</v>
      </c>
      <c r="H79" s="2">
        <f>MIN('50 Comm Int'!L75)</f>
        <v>0.73816099999999996</v>
      </c>
      <c r="I79" s="2">
        <f>MIN('MT-CP-DCM-ACO'!M75)</f>
        <v>23.98</v>
      </c>
      <c r="J79" s="2">
        <f>MIN('50 Comm Int'!M75)</f>
        <v>22.7</v>
      </c>
    </row>
    <row r="80" spans="2:10" x14ac:dyDescent="0.3">
      <c r="B80" t="s">
        <v>80</v>
      </c>
      <c r="C80" s="2">
        <f>MAX('MT-CP-DCM-ACO'!J76)</f>
        <v>100</v>
      </c>
      <c r="D80" s="2">
        <f>MAX('50 Comm Int'!J76)</f>
        <v>100</v>
      </c>
      <c r="E80" s="2">
        <f>MIN('MT-CP-DCM-ACO'!K76)</f>
        <v>0.16772999999999999</v>
      </c>
      <c r="F80" s="2">
        <f>MIN('50 Comm Int'!K76)</f>
        <v>0.116212</v>
      </c>
      <c r="G80" s="2">
        <f>MIN('MT-CP-DCM-ACO'!L76)</f>
        <v>0.21821299999999999</v>
      </c>
      <c r="H80" s="2">
        <f>MIN('50 Comm Int'!L76)</f>
        <v>8.8330000000000006E-2</v>
      </c>
      <c r="I80" s="2">
        <f>MIN('MT-CP-DCM-ACO'!M76)</f>
        <v>13.35</v>
      </c>
      <c r="J80" s="2">
        <f>MIN('50 Comm Int'!M76)</f>
        <v>9.34</v>
      </c>
    </row>
    <row r="81" spans="2:10" x14ac:dyDescent="0.3">
      <c r="B81" t="s">
        <v>81</v>
      </c>
      <c r="C81" s="2">
        <f>MAX('MT-CP-DCM-ACO'!J77)</f>
        <v>100</v>
      </c>
      <c r="D81" s="2">
        <f>MAX('50 Comm Int'!J77)</f>
        <v>100</v>
      </c>
      <c r="E81" s="2">
        <f>MIN('MT-CP-DCM-ACO'!K77)</f>
        <v>0.32012000000000002</v>
      </c>
      <c r="F81" s="2">
        <f>MIN('50 Comm Int'!K77)</f>
        <v>0.27485500000000002</v>
      </c>
      <c r="G81" s="2">
        <f>MIN('MT-CP-DCM-ACO'!L77)</f>
        <v>0.347273</v>
      </c>
      <c r="H81" s="2">
        <f>MIN('50 Comm Int'!L77)</f>
        <v>0.27766999999999997</v>
      </c>
      <c r="I81" s="2">
        <f>MIN('MT-CP-DCM-ACO'!M77)</f>
        <v>27.29</v>
      </c>
      <c r="J81" s="2">
        <f>MIN('50 Comm Int'!M77)</f>
        <v>23.92</v>
      </c>
    </row>
    <row r="82" spans="2:10" x14ac:dyDescent="0.3">
      <c r="B82" t="s">
        <v>82</v>
      </c>
      <c r="C82" s="2">
        <f>MAX('MT-CP-DCM-ACO'!J78)</f>
        <v>100</v>
      </c>
      <c r="D82" s="2">
        <f>MAX('50 Comm Int'!J78)</f>
        <v>100</v>
      </c>
      <c r="E82" s="2">
        <f>MIN('MT-CP-DCM-ACO'!K78)</f>
        <v>0.20231099999999999</v>
      </c>
      <c r="F82" s="2">
        <f>MIN('50 Comm Int'!K78)</f>
        <v>0.17082700000000001</v>
      </c>
      <c r="G82" s="2">
        <f>MIN('MT-CP-DCM-ACO'!L78)</f>
        <v>0.14605699999999999</v>
      </c>
      <c r="H82" s="2">
        <f>MIN('50 Comm Int'!L78)</f>
        <v>8.0699999999999994E-2</v>
      </c>
      <c r="I82" s="2">
        <f>MIN('MT-CP-DCM-ACO'!M78)</f>
        <v>14.08</v>
      </c>
      <c r="J82" s="2">
        <f>MIN('50 Comm Int'!M78)</f>
        <v>12.21</v>
      </c>
    </row>
    <row r="83" spans="2:10" x14ac:dyDescent="0.3">
      <c r="B83" t="s">
        <v>83</v>
      </c>
      <c r="C83" s="2">
        <f>MAX('MT-CP-DCM-ACO'!J79)</f>
        <v>100</v>
      </c>
      <c r="D83" s="2">
        <f>MAX('50 Comm Int'!J79)</f>
        <v>100</v>
      </c>
      <c r="E83" s="2">
        <f>MIN('MT-CP-DCM-ACO'!K79)</f>
        <v>0.47274100000000002</v>
      </c>
      <c r="F83" s="2">
        <f>MIN('50 Comm Int'!K79)</f>
        <v>0.47887800000000003</v>
      </c>
      <c r="G83" s="2">
        <f>MIN('MT-CP-DCM-ACO'!L79)</f>
        <v>0.58611800000000003</v>
      </c>
      <c r="H83" s="2">
        <f>MIN('50 Comm Int'!L79)</f>
        <v>0.54291299999999998</v>
      </c>
      <c r="I83" s="2">
        <f>MIN('MT-CP-DCM-ACO'!M79)</f>
        <v>36.72</v>
      </c>
      <c r="J83" s="2">
        <f>MIN('50 Comm Int'!M79)</f>
        <v>38.200000000000003</v>
      </c>
    </row>
    <row r="84" spans="2:10" x14ac:dyDescent="0.3">
      <c r="B84" t="s">
        <v>84</v>
      </c>
      <c r="C84" s="2">
        <f>MAX('MT-CP-DCM-ACO'!J80)</f>
        <v>100</v>
      </c>
      <c r="D84" s="2">
        <f>MAX('50 Comm Int'!J80)</f>
        <v>100</v>
      </c>
      <c r="E84" s="2">
        <f>MIN('MT-CP-DCM-ACO'!K80)</f>
        <v>6.4753759999999998</v>
      </c>
      <c r="F84" s="2">
        <f>MIN('50 Comm Int'!K80)</f>
        <v>4.7579630000000002</v>
      </c>
      <c r="G84" s="2">
        <f>MIN('MT-CP-DCM-ACO'!L80)</f>
        <v>13.0961</v>
      </c>
      <c r="H84" s="2">
        <f>MIN('50 Comm Int'!L80)</f>
        <v>9.8781920000000003</v>
      </c>
      <c r="I84" s="2">
        <f>MIN('MT-CP-DCM-ACO'!M80)</f>
        <v>505.88</v>
      </c>
      <c r="J84" s="2">
        <f>MIN('50 Comm Int'!M80)</f>
        <v>381.4</v>
      </c>
    </row>
    <row r="85" spans="2:10" x14ac:dyDescent="0.3">
      <c r="B85" t="s">
        <v>85</v>
      </c>
      <c r="C85" s="2">
        <f>MAX('MT-CP-DCM-ACO'!J81)</f>
        <v>100</v>
      </c>
      <c r="D85" s="2">
        <f>MAX('50 Comm Int'!J81)</f>
        <v>100</v>
      </c>
      <c r="E85" s="2">
        <f>MIN('MT-CP-DCM-ACO'!K81)</f>
        <v>0.13340399999999999</v>
      </c>
      <c r="F85" s="2">
        <f>MIN('50 Comm Int'!K81)</f>
        <v>0.120104</v>
      </c>
      <c r="G85" s="2">
        <f>MIN('MT-CP-DCM-ACO'!L81)</f>
        <v>9.0311000000000002E-2</v>
      </c>
      <c r="H85" s="2">
        <f>MIN('50 Comm Int'!L81)</f>
        <v>7.0986999999999995E-2</v>
      </c>
      <c r="I85" s="2">
        <f>MIN('MT-CP-DCM-ACO'!M81)</f>
        <v>11</v>
      </c>
      <c r="J85" s="2">
        <f>MIN('50 Comm Int'!M81)</f>
        <v>10.1</v>
      </c>
    </row>
    <row r="86" spans="2:10" x14ac:dyDescent="0.3">
      <c r="B86" t="s">
        <v>86</v>
      </c>
      <c r="C86" s="2">
        <f>MAX('MT-CP-DCM-ACO'!J82)</f>
        <v>99</v>
      </c>
      <c r="D86" s="2">
        <f>MAX('50 Comm Int'!J82)</f>
        <v>100</v>
      </c>
      <c r="E86" s="2">
        <f>MIN('MT-CP-DCM-ACO'!K82)</f>
        <v>1.774524</v>
      </c>
      <c r="F86" s="2">
        <f>MIN('50 Comm Int'!K82)</f>
        <v>1.57769</v>
      </c>
      <c r="G86" s="2">
        <f>MIN('MT-CP-DCM-ACO'!L82)</f>
        <v>8.3937019999999993</v>
      </c>
      <c r="H86" s="2">
        <f>MIN('50 Comm Int'!L82)</f>
        <v>9.7321380000000008</v>
      </c>
      <c r="I86" s="2">
        <f>MIN('MT-CP-DCM-ACO'!M82)</f>
        <v>148.43</v>
      </c>
      <c r="J86" s="2">
        <f>MIN('50 Comm Int'!M82)</f>
        <v>135.86000000000001</v>
      </c>
    </row>
    <row r="87" spans="2:10" x14ac:dyDescent="0.3">
      <c r="B87" t="s">
        <v>87</v>
      </c>
      <c r="C87" s="2">
        <f>MAX('MT-CP-DCM-ACO'!J83)</f>
        <v>100</v>
      </c>
      <c r="D87" s="2">
        <f>MAX('50 Comm Int'!J83)</f>
        <v>100</v>
      </c>
      <c r="E87" s="2">
        <f>MIN('MT-CP-DCM-ACO'!K83)</f>
        <v>0.55876999999999999</v>
      </c>
      <c r="F87" s="2">
        <f>MIN('50 Comm Int'!K83)</f>
        <v>0.61965899999999996</v>
      </c>
      <c r="G87" s="2">
        <f>MIN('MT-CP-DCM-ACO'!L83)</f>
        <v>0.59529500000000002</v>
      </c>
      <c r="H87" s="2">
        <f>MIN('50 Comm Int'!L83)</f>
        <v>0.53968700000000003</v>
      </c>
      <c r="I87" s="2">
        <f>MIN('MT-CP-DCM-ACO'!M83)</f>
        <v>34.71</v>
      </c>
      <c r="J87" s="2">
        <f>MIN('50 Comm Int'!M83)</f>
        <v>39.42</v>
      </c>
    </row>
    <row r="88" spans="2:10" x14ac:dyDescent="0.3">
      <c r="B88" t="s">
        <v>88</v>
      </c>
      <c r="C88" s="2">
        <f>MAX('MT-CP-DCM-ACO'!J84)</f>
        <v>100</v>
      </c>
      <c r="D88" s="2">
        <f>MAX('50 Comm Int'!J84)</f>
        <v>100</v>
      </c>
      <c r="E88" s="2">
        <f>MIN('MT-CP-DCM-ACO'!K84)</f>
        <v>1.938628</v>
      </c>
      <c r="F88" s="2">
        <f>MIN('50 Comm Int'!K84)</f>
        <v>2.3424770000000001</v>
      </c>
      <c r="G88" s="2">
        <f>MIN('MT-CP-DCM-ACO'!L84)</f>
        <v>1.866695</v>
      </c>
      <c r="H88" s="2">
        <f>MIN('50 Comm Int'!L84)</f>
        <v>4.9207289999999997</v>
      </c>
      <c r="I88" s="2">
        <f>MIN('MT-CP-DCM-ACO'!M84)</f>
        <v>118.22</v>
      </c>
      <c r="J88" s="2">
        <f>MIN('50 Comm Int'!M84)</f>
        <v>141.54</v>
      </c>
    </row>
    <row r="89" spans="2:10" x14ac:dyDescent="0.3">
      <c r="B89" t="s">
        <v>89</v>
      </c>
      <c r="C89" s="2">
        <f>MAX('MT-CP-DCM-ACO'!J85)</f>
        <v>100</v>
      </c>
      <c r="D89" s="2">
        <f>MAX('50 Comm Int'!J85)</f>
        <v>100</v>
      </c>
      <c r="E89" s="2">
        <f>MIN('MT-CP-DCM-ACO'!K85)</f>
        <v>0.15389600000000001</v>
      </c>
      <c r="F89" s="2">
        <f>MIN('50 Comm Int'!K85)</f>
        <v>0.18704299999999999</v>
      </c>
      <c r="G89" s="2">
        <f>MIN('MT-CP-DCM-ACO'!L85)</f>
        <v>9.0191999999999994E-2</v>
      </c>
      <c r="H89" s="2">
        <f>MIN('50 Comm Int'!L85)</f>
        <v>0.166767</v>
      </c>
      <c r="I89" s="2">
        <f>MIN('MT-CP-DCM-ACO'!M85)</f>
        <v>11.15</v>
      </c>
      <c r="J89" s="2">
        <f>MIN('50 Comm Int'!M85)</f>
        <v>13.94</v>
      </c>
    </row>
    <row r="90" spans="2:10" x14ac:dyDescent="0.3">
      <c r="B90" t="s">
        <v>90</v>
      </c>
      <c r="C90" s="2">
        <f>MAX('MT-CP-DCM-ACO'!J86)</f>
        <v>100</v>
      </c>
      <c r="D90" s="2">
        <f>MAX('50 Comm Int'!J86)</f>
        <v>100</v>
      </c>
      <c r="E90" s="2">
        <f>MIN('MT-CP-DCM-ACO'!K86)</f>
        <v>1.556127</v>
      </c>
      <c r="F90" s="2">
        <f>MIN('50 Comm Int'!K86)</f>
        <v>1.1895039999999999</v>
      </c>
      <c r="G90" s="2">
        <f>MIN('MT-CP-DCM-ACO'!L86)</f>
        <v>2.4005160000000001</v>
      </c>
      <c r="H90" s="2">
        <f>MIN('50 Comm Int'!L86)</f>
        <v>1.4848710000000001</v>
      </c>
      <c r="I90" s="2">
        <f>MIN('MT-CP-DCM-ACO'!M86)</f>
        <v>95.24</v>
      </c>
      <c r="J90" s="2">
        <f>MIN('50 Comm Int'!M86)</f>
        <v>74.7</v>
      </c>
    </row>
    <row r="91" spans="2:10" x14ac:dyDescent="0.3">
      <c r="B91" t="s">
        <v>91</v>
      </c>
      <c r="C91" s="2">
        <f>MAX('MT-CP-DCM-ACO'!J87)</f>
        <v>99</v>
      </c>
      <c r="D91" s="2">
        <f>MAX('50 Comm Int'!J87)</f>
        <v>98</v>
      </c>
      <c r="E91" s="2">
        <f>MIN('MT-CP-DCM-ACO'!K87)</f>
        <v>4.04861</v>
      </c>
      <c r="F91" s="2">
        <f>MIN('50 Comm Int'!K87)</f>
        <v>4.9296730000000002</v>
      </c>
      <c r="G91" s="2">
        <f>MIN('MT-CP-DCM-ACO'!L87)</f>
        <v>5.2400380000000002</v>
      </c>
      <c r="H91" s="2">
        <f>MIN('50 Comm Int'!L87)</f>
        <v>13.817072</v>
      </c>
      <c r="I91" s="2">
        <f>MIN('MT-CP-DCM-ACO'!M87)</f>
        <v>273.17</v>
      </c>
      <c r="J91" s="2">
        <f>MIN('50 Comm Int'!M87)</f>
        <v>336</v>
      </c>
    </row>
    <row r="92" spans="2:10" x14ac:dyDescent="0.3">
      <c r="B92" t="s">
        <v>92</v>
      </c>
      <c r="C92" s="2">
        <f>MAX('MT-CP-DCM-ACO'!J88)</f>
        <v>100</v>
      </c>
      <c r="D92" s="2">
        <f>MAX('50 Comm Int'!J88)</f>
        <v>100</v>
      </c>
      <c r="E92" s="2">
        <f>MIN('MT-CP-DCM-ACO'!K88)</f>
        <v>3.9452389999999999</v>
      </c>
      <c r="F92" s="2">
        <f>MIN('50 Comm Int'!K88)</f>
        <v>2.24465</v>
      </c>
      <c r="G92" s="2">
        <f>MIN('MT-CP-DCM-ACO'!L88)</f>
        <v>12.539399</v>
      </c>
      <c r="H92" s="2">
        <f>MIN('50 Comm Int'!L88)</f>
        <v>4.2758620000000001</v>
      </c>
      <c r="I92" s="2">
        <f>MIN('MT-CP-DCM-ACO'!M88)</f>
        <v>255.84</v>
      </c>
      <c r="J92" s="2">
        <f>MIN('50 Comm Int'!M88)</f>
        <v>149.5</v>
      </c>
    </row>
    <row r="93" spans="2:10" x14ac:dyDescent="0.3">
      <c r="B93" t="s">
        <v>93</v>
      </c>
      <c r="C93" s="2">
        <f>MAX('MT-CP-DCM-ACO'!J89)</f>
        <v>100</v>
      </c>
      <c r="D93" s="2">
        <f>MAX('50 Comm Int'!J89)</f>
        <v>100</v>
      </c>
      <c r="E93" s="2">
        <f>MIN('MT-CP-DCM-ACO'!K89)</f>
        <v>0.18357799999999999</v>
      </c>
      <c r="F93" s="2">
        <f>MIN('50 Comm Int'!K89)</f>
        <v>0.19483600000000001</v>
      </c>
      <c r="G93" s="2">
        <f>MIN('MT-CP-DCM-ACO'!L89)</f>
        <v>0.26537300000000003</v>
      </c>
      <c r="H93" s="2">
        <f>MIN('50 Comm Int'!L89)</f>
        <v>0.29365599999999997</v>
      </c>
      <c r="I93" s="2">
        <f>MIN('MT-CP-DCM-ACO'!M89)</f>
        <v>16.53</v>
      </c>
      <c r="J93" s="2">
        <f>MIN('50 Comm Int'!M89)</f>
        <v>17.850000000000001</v>
      </c>
    </row>
    <row r="94" spans="2:10" x14ac:dyDescent="0.3">
      <c r="B94" t="s">
        <v>94</v>
      </c>
      <c r="C94" s="2">
        <f>MAX('MT-CP-DCM-ACO'!J90)</f>
        <v>100</v>
      </c>
      <c r="D94" s="2">
        <f>MAX('50 Comm Int'!J90)</f>
        <v>100</v>
      </c>
      <c r="E94" s="2">
        <f>MIN('MT-CP-DCM-ACO'!K90)</f>
        <v>1.9061619999999999</v>
      </c>
      <c r="F94" s="2">
        <f>MIN('50 Comm Int'!K90)</f>
        <v>1.844905</v>
      </c>
      <c r="G94" s="2">
        <f>MIN('MT-CP-DCM-ACO'!L90)</f>
        <v>2.820128</v>
      </c>
      <c r="H94" s="2">
        <f>MIN('50 Comm Int'!L90)</f>
        <v>2.2774730000000001</v>
      </c>
      <c r="I94" s="2">
        <f>MIN('MT-CP-DCM-ACO'!M90)</f>
        <v>147.03</v>
      </c>
      <c r="J94" s="2">
        <f>MIN('50 Comm Int'!M90)</f>
        <v>144.37</v>
      </c>
    </row>
    <row r="95" spans="2:10" x14ac:dyDescent="0.3">
      <c r="B95" t="s">
        <v>95</v>
      </c>
      <c r="C95" s="2">
        <f>MAX('MT-CP-DCM-ACO'!J91)</f>
        <v>100</v>
      </c>
      <c r="D95" s="2">
        <f>MAX('50 Comm Int'!J91)</f>
        <v>100</v>
      </c>
      <c r="E95" s="2">
        <f>MIN('MT-CP-DCM-ACO'!K91)</f>
        <v>0.40699600000000002</v>
      </c>
      <c r="F95" s="2">
        <f>MIN('50 Comm Int'!K91)</f>
        <v>0.34606999999999999</v>
      </c>
      <c r="G95" s="2">
        <f>MIN('MT-CP-DCM-ACO'!L91)</f>
        <v>0.50442100000000001</v>
      </c>
      <c r="H95" s="2">
        <f>MIN('50 Comm Int'!L91)</f>
        <v>0.39044299999999998</v>
      </c>
      <c r="I95" s="2">
        <f>MIN('MT-CP-DCM-ACO'!M91)</f>
        <v>29.99</v>
      </c>
      <c r="J95" s="2">
        <f>MIN('50 Comm Int'!M91)</f>
        <v>26</v>
      </c>
    </row>
    <row r="96" spans="2:10" x14ac:dyDescent="0.3">
      <c r="B96" t="s">
        <v>96</v>
      </c>
      <c r="C96" s="2">
        <f>MAX('MT-CP-DCM-ACO'!J92)</f>
        <v>100</v>
      </c>
      <c r="D96" s="2">
        <f>MAX('50 Comm Int'!J92)</f>
        <v>100</v>
      </c>
      <c r="E96" s="2">
        <f>MIN('MT-CP-DCM-ACO'!K92)</f>
        <v>0.206039</v>
      </c>
      <c r="F96" s="2">
        <f>MIN('50 Comm Int'!K92)</f>
        <v>0.23097000000000001</v>
      </c>
      <c r="G96" s="2">
        <f>MIN('MT-CP-DCM-ACO'!L92)</f>
        <v>0.27263599999999999</v>
      </c>
      <c r="H96" s="2">
        <f>MIN('50 Comm Int'!L92)</f>
        <v>0.35507300000000003</v>
      </c>
      <c r="I96" s="2">
        <f>MIN('MT-CP-DCM-ACO'!M92)</f>
        <v>16.399999999999999</v>
      </c>
      <c r="J96" s="2">
        <f>MIN('50 Comm Int'!M92)</f>
        <v>18.88</v>
      </c>
    </row>
    <row r="97" spans="2:10" x14ac:dyDescent="0.3">
      <c r="B97" t="s">
        <v>97</v>
      </c>
      <c r="C97" s="2">
        <f>MAX('MT-CP-DCM-ACO'!J93)</f>
        <v>100</v>
      </c>
      <c r="D97" s="2">
        <f>MAX('50 Comm Int'!J93)</f>
        <v>100</v>
      </c>
      <c r="E97" s="2">
        <f>MIN('MT-CP-DCM-ACO'!K93)</f>
        <v>0.474856</v>
      </c>
      <c r="F97" s="2">
        <f>MIN('50 Comm Int'!K93)</f>
        <v>0.55223299999999997</v>
      </c>
      <c r="G97" s="2">
        <f>MIN('MT-CP-DCM-ACO'!L93)</f>
        <v>0.44130900000000001</v>
      </c>
      <c r="H97" s="2">
        <f>MIN('50 Comm Int'!L93)</f>
        <v>0.73739299999999997</v>
      </c>
      <c r="I97" s="2">
        <f>MIN('MT-CP-DCM-ACO'!M93)</f>
        <v>36.99</v>
      </c>
      <c r="J97" s="2">
        <f>MIN('50 Comm Int'!M93)</f>
        <v>43.47</v>
      </c>
    </row>
    <row r="98" spans="2:10" x14ac:dyDescent="0.3">
      <c r="B98" t="s">
        <v>98</v>
      </c>
      <c r="C98" s="2">
        <f>MAX('MT-CP-DCM-ACO'!J94)</f>
        <v>100</v>
      </c>
      <c r="D98" s="2">
        <f>MAX('50 Comm Int'!J94)</f>
        <v>100</v>
      </c>
      <c r="E98" s="2">
        <f>MIN('MT-CP-DCM-ACO'!K94)</f>
        <v>0.46463300000000002</v>
      </c>
      <c r="F98" s="2">
        <f>MIN('50 Comm Int'!K94)</f>
        <v>0.49583899999999997</v>
      </c>
      <c r="G98" s="2">
        <f>MIN('MT-CP-DCM-ACO'!L94)</f>
        <v>0.53752599999999995</v>
      </c>
      <c r="H98" s="2">
        <f>MIN('50 Comm Int'!L94)</f>
        <v>0.54108900000000004</v>
      </c>
      <c r="I98" s="2">
        <f>MIN('MT-CP-DCM-ACO'!M94)</f>
        <v>32.44</v>
      </c>
      <c r="J98" s="2">
        <f>MIN('50 Comm Int'!M94)</f>
        <v>35.19</v>
      </c>
    </row>
    <row r="99" spans="2:10" x14ac:dyDescent="0.3">
      <c r="B99" t="s">
        <v>99</v>
      </c>
      <c r="C99" s="2">
        <f>MAX('MT-CP-DCM-ACO'!J95)</f>
        <v>100</v>
      </c>
      <c r="D99" s="2">
        <f>MAX('50 Comm Int'!J95)</f>
        <v>100</v>
      </c>
      <c r="E99" s="2">
        <f>MIN('MT-CP-DCM-ACO'!K95)</f>
        <v>0.53392499999999998</v>
      </c>
      <c r="F99" s="2">
        <f>MIN('50 Comm Int'!K95)</f>
        <v>0.38385900000000001</v>
      </c>
      <c r="G99" s="2">
        <f>MIN('MT-CP-DCM-ACO'!L95)</f>
        <v>0.84345099999999995</v>
      </c>
      <c r="H99" s="2">
        <f>MIN('50 Comm Int'!L95)</f>
        <v>0.35952400000000001</v>
      </c>
      <c r="I99" s="2">
        <f>MIN('MT-CP-DCM-ACO'!M95)</f>
        <v>45.35</v>
      </c>
      <c r="J99" s="2">
        <f>MIN('50 Comm Int'!M95)</f>
        <v>33.57</v>
      </c>
    </row>
    <row r="100" spans="2:10" x14ac:dyDescent="0.3">
      <c r="B100" t="s">
        <v>100</v>
      </c>
      <c r="C100" s="2">
        <f>MAX('MT-CP-DCM-ACO'!J96)</f>
        <v>100</v>
      </c>
      <c r="D100" s="2">
        <f>MAX('50 Comm Int'!J96)</f>
        <v>100</v>
      </c>
      <c r="E100" s="2">
        <f>MIN('MT-CP-DCM-ACO'!K96)</f>
        <v>1.155489</v>
      </c>
      <c r="F100" s="2">
        <f>MIN('50 Comm Int'!K96)</f>
        <v>1.3670340000000001</v>
      </c>
      <c r="G100" s="2">
        <f>MIN('MT-CP-DCM-ACO'!L96)</f>
        <v>2.219233</v>
      </c>
      <c r="H100" s="2">
        <f>MIN('50 Comm Int'!L96)</f>
        <v>2.305199</v>
      </c>
      <c r="I100" s="2">
        <f>MIN('MT-CP-DCM-ACO'!M96)</f>
        <v>90.08</v>
      </c>
      <c r="J100" s="2">
        <f>MIN('50 Comm Int'!M96)</f>
        <v>108.87</v>
      </c>
    </row>
    <row r="101" spans="2:10" x14ac:dyDescent="0.3">
      <c r="B101" t="s">
        <v>101</v>
      </c>
      <c r="C101" s="2">
        <f>MAX('MT-CP-DCM-ACO'!J97)</f>
        <v>100</v>
      </c>
      <c r="D101" s="2">
        <f>MAX('50 Comm Int'!J97)</f>
        <v>100</v>
      </c>
      <c r="E101" s="2">
        <f>MIN('MT-CP-DCM-ACO'!K97)</f>
        <v>0.74156299999999997</v>
      </c>
      <c r="F101" s="2">
        <f>MIN('50 Comm Int'!K97)</f>
        <v>2.796853</v>
      </c>
      <c r="G101" s="2">
        <f>MIN('MT-CP-DCM-ACO'!L97)</f>
        <v>1.4008149999999999</v>
      </c>
      <c r="H101" s="2">
        <f>MIN('50 Comm Int'!L97)</f>
        <v>10.577261999999999</v>
      </c>
      <c r="I101" s="2">
        <f>MIN('MT-CP-DCM-ACO'!M97)</f>
        <v>51.58</v>
      </c>
      <c r="J101" s="2">
        <f>MIN('50 Comm Int'!M97)</f>
        <v>195.75</v>
      </c>
    </row>
    <row r="102" spans="2:10" x14ac:dyDescent="0.3">
      <c r="B102" t="s">
        <v>102</v>
      </c>
      <c r="C102" s="2">
        <f>MAX('MT-CP-DCM-ACO'!J98)</f>
        <v>100</v>
      </c>
      <c r="D102" s="2">
        <f>MAX('50 Comm Int'!J98)</f>
        <v>100</v>
      </c>
      <c r="E102" s="2">
        <f>MIN('MT-CP-DCM-ACO'!K98)</f>
        <v>0.11530600000000001</v>
      </c>
      <c r="F102" s="2">
        <f>MIN('50 Comm Int'!K98)</f>
        <v>9.8760000000000001E-2</v>
      </c>
      <c r="G102" s="2">
        <f>MIN('MT-CP-DCM-ACO'!L98)</f>
        <v>5.4537000000000002E-2</v>
      </c>
      <c r="H102" s="2">
        <f>MIN('50 Comm Int'!L98)</f>
        <v>3.8723E-2</v>
      </c>
      <c r="I102" s="2">
        <f>MIN('MT-CP-DCM-ACO'!M98)</f>
        <v>10.47</v>
      </c>
      <c r="J102" s="2">
        <f>MIN('50 Comm Int'!M98)</f>
        <v>9.0500000000000007</v>
      </c>
    </row>
    <row r="103" spans="2:10" x14ac:dyDescent="0.3">
      <c r="B103" t="s">
        <v>103</v>
      </c>
      <c r="C103" s="2">
        <f>MAX('MT-CP-DCM-ACO'!J99)</f>
        <v>100</v>
      </c>
      <c r="D103" s="2">
        <f>MAX('50 Comm Int'!J99)</f>
        <v>100</v>
      </c>
      <c r="E103" s="2">
        <f>MIN('MT-CP-DCM-ACO'!K99)</f>
        <v>1.060622</v>
      </c>
      <c r="F103" s="2">
        <f>MIN('50 Comm Int'!K99)</f>
        <v>0.89586699999999997</v>
      </c>
      <c r="G103" s="2">
        <f>MIN('MT-CP-DCM-ACO'!L99)</f>
        <v>2.4393579999999999</v>
      </c>
      <c r="H103" s="2">
        <f>MIN('50 Comm Int'!L99)</f>
        <v>1.363367</v>
      </c>
      <c r="I103" s="2">
        <f>MIN('MT-CP-DCM-ACO'!M99)</f>
        <v>80.88</v>
      </c>
      <c r="J103" s="2">
        <f>MIN('50 Comm Int'!M99)</f>
        <v>69.760000000000005</v>
      </c>
    </row>
    <row r="104" spans="2:10" x14ac:dyDescent="0.3">
      <c r="B104" t="s">
        <v>104</v>
      </c>
      <c r="C104" s="2">
        <f>MAX('MT-CP-DCM-ACO'!J100)</f>
        <v>100</v>
      </c>
      <c r="D104" s="2">
        <f>MAX('50 Comm Int'!J100)</f>
        <v>100</v>
      </c>
      <c r="E104" s="2">
        <f>MIN('MT-CP-DCM-ACO'!K100)</f>
        <v>1.619302</v>
      </c>
      <c r="F104" s="2">
        <f>MIN('50 Comm Int'!K100)</f>
        <v>2.8146949999999999</v>
      </c>
      <c r="G104" s="2">
        <f>MIN('MT-CP-DCM-ACO'!L100)</f>
        <v>2.7529469999999998</v>
      </c>
      <c r="H104" s="2">
        <f>MIN('50 Comm Int'!L100)</f>
        <v>7.6694279999999999</v>
      </c>
      <c r="I104" s="2">
        <f>MIN('MT-CP-DCM-ACO'!M100)</f>
        <v>101.93</v>
      </c>
      <c r="J104" s="2">
        <f>MIN('50 Comm Int'!M100)</f>
        <v>179.25</v>
      </c>
    </row>
    <row r="105" spans="2:10" x14ac:dyDescent="0.3">
      <c r="B105" t="s">
        <v>105</v>
      </c>
      <c r="C105" s="2">
        <f>MAX('MT-CP-DCM-ACO'!J101)</f>
        <v>100</v>
      </c>
      <c r="D105" s="2">
        <f>MAX('50 Comm Int'!J101)</f>
        <v>100</v>
      </c>
      <c r="E105" s="2">
        <f>MIN('MT-CP-DCM-ACO'!K101)</f>
        <v>0.28756500000000002</v>
      </c>
      <c r="F105" s="2">
        <f>MIN('50 Comm Int'!K101)</f>
        <v>0.37492999999999999</v>
      </c>
      <c r="G105" s="2">
        <f>MIN('MT-CP-DCM-ACO'!L101)</f>
        <v>0.81890799999999997</v>
      </c>
      <c r="H105" s="2">
        <f>MIN('50 Comm Int'!L101)</f>
        <v>1.574802</v>
      </c>
      <c r="I105" s="2">
        <f>MIN('MT-CP-DCM-ACO'!M101)</f>
        <v>23.62</v>
      </c>
      <c r="J105" s="2">
        <f>MIN('50 Comm Int'!M101)</f>
        <v>30.62</v>
      </c>
    </row>
  </sheetData>
  <mergeCells count="5">
    <mergeCell ref="B4:B5"/>
    <mergeCell ref="C4:D4"/>
    <mergeCell ref="E4:F4"/>
    <mergeCell ref="G4:H4"/>
    <mergeCell ref="I4:J4"/>
  </mergeCells>
  <conditionalFormatting sqref="C6:D105">
    <cfRule type="expression" dxfId="3" priority="4">
      <formula>C6=MAX($T6:$U6)</formula>
    </cfRule>
  </conditionalFormatting>
  <conditionalFormatting sqref="E6:F105">
    <cfRule type="expression" dxfId="2" priority="3">
      <formula>E6=MIN($V6:$W6)</formula>
    </cfRule>
  </conditionalFormatting>
  <conditionalFormatting sqref="G6:H105">
    <cfRule type="expression" dxfId="1" priority="2">
      <formula>G6=MIN($X6:$Y6)</formula>
    </cfRule>
  </conditionalFormatting>
  <conditionalFormatting sqref="I6:J105">
    <cfRule type="expression" dxfId="0" priority="1">
      <formula>I6=MIN($Z6:$AA6)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CP-ACS</vt:lpstr>
      <vt:lpstr>CP-DCM-ACO</vt:lpstr>
      <vt:lpstr>MT-CP-DCM-ACO</vt:lpstr>
      <vt:lpstr>50 Comm Int</vt:lpstr>
      <vt:lpstr>Comparison</vt:lpstr>
      <vt:lpstr>Comparison_2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Michael Jabuen</cp:lastModifiedBy>
  <dcterms:created xsi:type="dcterms:W3CDTF">2026-02-10T00:43:39Z</dcterms:created>
  <dcterms:modified xsi:type="dcterms:W3CDTF">2026-02-10T01:33:12Z</dcterms:modified>
</cp:coreProperties>
</file>